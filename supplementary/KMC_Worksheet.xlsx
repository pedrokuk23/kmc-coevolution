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alib_Hazard" sheetId="2" state="visible" r:id="rId4"/>
    <sheet name="Calib_Rates" sheetId="3" state="visible" r:id="rId5"/>
    <sheet name="Parameters" sheetId="4" state="visible" r:id="rId6"/>
    <sheet name="Decis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Override column: Org X rounds the calibrated values to the card of S1, Sec. 3.5. Clear a cell to use the calibrated value.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31</xdr:colOff>
                <xdr:row>4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<sst xmlns="http://schemas.openxmlformats.org/spreadsheetml/2006/main" count="158" uniqueCount="149">
  <si>
    <t xml:space="preserve">KMC Worksheet — companion to Supplementary Material S1</t>
  </si>
  <si>
    <t xml:space="preserve">Implements the calibration (Table 11) and the headroom procedure (Table 6) of the paper with spreadsheet formulas.</t>
  </si>
  <si>
    <t xml:space="preserve">How to use</t>
  </si>
  <si>
    <t xml:space="preserve">1. Calib_Hazard: enter the K assessed before each past integrated test, its cost and its outcome. The sheet fits the test hazard by likelihood and combines it with a public prior.</t>
  </si>
  <si>
    <t xml:space="preserve">2. Calib_Rates: enter campaign data (cost vs K or M) and plateaus. The sheet fits the three rates and the two ceilings.</t>
  </si>
  <si>
    <t xml:space="preserve">3. Parameters: calibrated values flow in automatically (green). Type a value in the Override column to use a rounded or prior value instead. Set the target, exposure limit and test cost.</t>
  </si>
  <si>
    <t xml:space="preserve">4. Decision: at each review, enter cumulative cost, K and M. The sheet computes the ceilings, rates, hazards, net knowledge rates and the recommended next activity.</t>
  </si>
  <si>
    <t xml:space="preserve">Colour code</t>
  </si>
  <si>
    <t xml:space="preserve">Blue text on yellow: inputs you edit.   Black: formulas.   Green: values linked from another sheet.</t>
  </si>
  <si>
    <t xml:space="preserve">Example data</t>
  </si>
  <si>
    <t xml:space="preserve">All example data belong to the fictional organization 'Org X' of Supplementary Material S1 (Rocket R, engine E-1, Project N). Replace them with your own records.</t>
  </si>
  <si>
    <t xml:space="preserve">Limits</t>
  </si>
  <si>
    <t xml:space="preserve">The sheet applies the observable procedure. The optimal policy, the exact derivative D_a and Monte Carlo checks need the Python code (kmc_model.py).</t>
  </si>
  <si>
    <t xml:space="preserve">Test hazard λ_T: likelihood of past integrated tests + public prior (S1, Sec. 3.1–3.2)</t>
  </si>
  <si>
    <t xml:space="preserve">Prior median λ (per BU)</t>
  </si>
  <si>
    <t xml:space="preserve">FAA first flights 1980–2002 (paper, Sec. VI-B)</t>
  </si>
  <si>
    <t xml:space="preserve">Prior σ of ln λ</t>
  </si>
  <si>
    <t xml:space="preserve">assumed spread of the prior</t>
  </si>
  <si>
    <t xml:space="preserve">Test n</t>
  </si>
  <si>
    <t xml:space="preserve">K before test</t>
  </si>
  <si>
    <t xml:space="preserve">Test cost c_f (BU)</t>
  </si>
  <si>
    <t xml:space="preserve">Outcome (1 = failure/shock, 0 = success)</t>
  </si>
  <si>
    <t xml:space="preserve">x = (1−K)²·c_f</t>
  </si>
  <si>
    <t xml:space="preserve">failure flag</t>
  </si>
  <si>
    <t xml:space="preserve">success flag</t>
  </si>
  <si>
    <t xml:space="preserve">ΔK to next test</t>
  </si>
  <si>
    <t xml:space="preserve">(1−K)·c_f</t>
  </si>
  <si>
    <t xml:space="preserve">ΔK·(1−K)c_f</t>
  </si>
  <si>
    <t xml:space="preserve">((1−K)c_f)²</t>
  </si>
  <si>
    <t xml:space="preserve">λ grid</t>
  </si>
  <si>
    <t xml:space="preserve">log-likelihood</t>
  </si>
  <si>
    <t xml:space="preserve">log-prior</t>
  </si>
  <si>
    <t xml:space="preserve">log-posterior (shifted)</t>
  </si>
  <si>
    <t xml:space="preserve">posterior weight</t>
  </si>
  <si>
    <t xml:space="preserve">cumulative</t>
  </si>
  <si>
    <t xml:space="preserve">Results</t>
  </si>
  <si>
    <t xml:space="preserve">λ_T, data only (maximum likelihood)</t>
  </si>
  <si>
    <t xml:space="preserve">λ_T, posterior median (use this)</t>
  </si>
  <si>
    <t xml:space="preserve">posterior 5th percentile</t>
  </si>
  <si>
    <t xml:space="preserve">posterior 95th percentile</t>
  </si>
  <si>
    <t xml:space="preserve">e_T, knowledge per BU of integrated testing</t>
  </si>
  <si>
    <t xml:space="preserve">Grid search on columns N–S (λ from 0.05 to 5.04 per BU, step 0.01). Extend the grid if the estimate sits at its edge.</t>
  </si>
  <si>
    <t xml:space="preserve">Rates and ceilings (S1, Sec. 3.3–3.4)</t>
  </si>
  <si>
    <t xml:space="preserve">Separate-effects campaign (engine E-1): K versus cost</t>
  </si>
  <si>
    <t xml:space="preserve">Ceiling levels used by the S and T campaigns</t>
  </si>
  <si>
    <t xml:space="preserve">cost (BU)</t>
  </si>
  <si>
    <t xml:space="preserve">K</t>
  </si>
  <si>
    <t xml:space="preserve">ln(gap)</t>
  </si>
  <si>
    <t xml:space="preserve">M during the CFD campaign</t>
  </si>
  <si>
    <t xml:space="preserve">r_E (per BU)</t>
  </si>
  <si>
    <t xml:space="preserve">K during the ground-test campaign</t>
  </si>
  <si>
    <t xml:space="preserve">K̄ at that M (from the ceiling fit)</t>
  </si>
  <si>
    <t xml:space="preserve">M̄ at that K (from the ceiling fit)</t>
  </si>
  <si>
    <t xml:space="preserve">(ln(1−K) = ln(1−K₀) − r_E·c)</t>
  </si>
  <si>
    <t xml:space="preserve">Simulation campaign (CFD): K versus cost</t>
  </si>
  <si>
    <t xml:space="preserve">r_S (per BU)</t>
  </si>
  <si>
    <t xml:space="preserve">(ln(K̄−K) = ln(K̄−K₀) − r_S·c)</t>
  </si>
  <si>
    <t xml:space="preserve">Simulation plateaus: K where S stopped improving, versus demonstrated M</t>
  </si>
  <si>
    <t xml:space="preserve">M</t>
  </si>
  <si>
    <t xml:space="preserve">plateau K</t>
  </si>
  <si>
    <t xml:space="preserve">k_b (intercept)</t>
  </si>
  <si>
    <t xml:space="preserve">k_l (slope)</t>
  </si>
  <si>
    <t xml:space="preserve">Test plateaus: M where T stopped passing more envelope, versus K</t>
  </si>
  <si>
    <t xml:space="preserve">plateau M</t>
  </si>
  <si>
    <t xml:space="preserve">m_b (intercept)</t>
  </si>
  <si>
    <t xml:space="preserve">m_l (slope)</t>
  </si>
  <si>
    <t xml:space="preserve">Integrated campaign (ground tests): M versus cost</t>
  </si>
  <si>
    <t xml:space="preserve">r_T (per BU)</t>
  </si>
  <si>
    <t xml:space="preserve">(ln(M̄−M) = ln(M̄−M₀) − r_T·c)</t>
  </si>
  <si>
    <t xml:space="preserve">Parameter card (paper Table 5 notation)</t>
  </si>
  <si>
    <t xml:space="preserve">Symbol</t>
  </si>
  <si>
    <t xml:space="preserve">Meaning</t>
  </si>
  <si>
    <t xml:space="preserve">Calibrated / default</t>
  </si>
  <si>
    <t xml:space="preserve">Override (optional)</t>
  </si>
  <si>
    <t xml:space="preserve">Value used</t>
  </si>
  <si>
    <t xml:space="preserve">k_b</t>
  </si>
  <si>
    <t xml:space="preserve">simulation ceiling, intercept</t>
  </si>
  <si>
    <t xml:space="preserve">k_l</t>
  </si>
  <si>
    <t xml:space="preserve">simulation ceiling, slope</t>
  </si>
  <si>
    <t xml:space="preserve">m_b</t>
  </si>
  <si>
    <t xml:space="preserve">test ceiling, intercept</t>
  </si>
  <si>
    <t xml:space="preserve">m_l</t>
  </si>
  <si>
    <t xml:space="preserve">test ceiling, slope</t>
  </si>
  <si>
    <t xml:space="preserve">r_S</t>
  </si>
  <si>
    <t xml:space="preserve">simulation rate (per BU)</t>
  </si>
  <si>
    <t xml:space="preserve">r_E</t>
  </si>
  <si>
    <t xml:space="preserve">separate-effects rate (per BU)</t>
  </si>
  <si>
    <t xml:space="preserve">e_E</t>
  </si>
  <si>
    <t xml:space="preserve">separate-effects maturity credit (per BU)</t>
  </si>
  <si>
    <t xml:space="preserve">r_T</t>
  </si>
  <si>
    <t xml:space="preserve">integrated-test maturity rate (per BU)</t>
  </si>
  <si>
    <t xml:space="preserve">e_T</t>
  </si>
  <si>
    <t xml:space="preserve">integrated-test knowledge credit (per BU)</t>
  </si>
  <si>
    <t xml:space="preserve">λ_E</t>
  </si>
  <si>
    <t xml:space="preserve">separate-effects shock hazard scale (per BU)</t>
  </si>
  <si>
    <t xml:space="preserve">λ_T</t>
  </si>
  <si>
    <t xml:space="preserve">integrated-test shock hazard scale (per BU)</t>
  </si>
  <si>
    <t xml:space="preserve">δ_K</t>
  </si>
  <si>
    <t xml:space="preserve">K lost in a shock</t>
  </si>
  <si>
    <t xml:space="preserve">δ_M</t>
  </si>
  <si>
    <t xml:space="preserve">M lost in a shock</t>
  </si>
  <si>
    <t xml:space="preserve">ρ</t>
  </si>
  <si>
    <t xml:space="preserve">rework per shock (BU)</t>
  </si>
  <si>
    <t xml:space="preserve">Project and policy</t>
  </si>
  <si>
    <t xml:space="preserve">K_req</t>
  </si>
  <si>
    <t xml:space="preserve">required knowledge (target region)</t>
  </si>
  <si>
    <t xml:space="preserve">M_req</t>
  </si>
  <si>
    <t xml:space="preserve">required maturity (target region)</t>
  </si>
  <si>
    <t xml:space="preserve">h_max</t>
  </si>
  <si>
    <t xml:space="preserve">exposure limit: λ_T(1−K)² per BU</t>
  </si>
  <si>
    <t xml:space="preserve">c_f</t>
  </si>
  <si>
    <t xml:space="preserve">cost of one integrated test (BU)</t>
  </si>
  <si>
    <t xml:space="preserve">Budget</t>
  </si>
  <si>
    <t xml:space="preserve">program budget (BU)</t>
  </si>
  <si>
    <t xml:space="preserve">Thresholds (S1, Sec. 4.2)</t>
  </si>
  <si>
    <t xml:space="preserve">K_need</t>
  </si>
  <si>
    <t xml:space="preserve">knowledge for which M̄(K) reaches M_req</t>
  </si>
  <si>
    <t xml:space="preserve">K_haz</t>
  </si>
  <si>
    <t xml:space="preserve">knowledge for which the test hazard is within h_max</t>
  </si>
  <si>
    <t xml:space="preserve">K_test</t>
  </si>
  <si>
    <t xml:space="preserve">test threshold = max(K_need, K_haz)</t>
  </si>
  <si>
    <t xml:space="preserve">P(lose one test) at K_test</t>
  </si>
  <si>
    <t xml:space="preserve">1 − exp(−h_max·c_f) at the threshold</t>
  </si>
  <si>
    <t xml:space="preserve">Decision at each review — headroom procedure (Table 6, steps 3–4)</t>
  </si>
  <si>
    <t xml:space="preserve">Enter date, cumulative cost, K and M after each review (yellow). Example rows: Project N of S1, Sec. 4.4.</t>
  </si>
  <si>
    <t xml:space="preserve">Review</t>
  </si>
  <si>
    <t xml:space="preserve">Cum. cost (BU)</t>
  </si>
  <si>
    <t xml:space="preserve">K̄(M)</t>
  </si>
  <si>
    <t xml:space="preserve">M̄(K)</t>
  </si>
  <si>
    <t xml:space="preserve">S: K gain</t>
  </si>
  <si>
    <t xml:space="preserve">E: K gain</t>
  </si>
  <si>
    <t xml:space="preserve">T: K gain</t>
  </si>
  <si>
    <t xml:space="preserve">E: hazard</t>
  </si>
  <si>
    <t xml:space="preserve">T: hazard</t>
  </si>
  <si>
    <t xml:space="preserve">net S</t>
  </si>
  <si>
    <t xml:space="preserve">net E</t>
  </si>
  <si>
    <t xml:space="preserve">net T</t>
  </si>
  <si>
    <t xml:space="preserve">Step</t>
  </si>
  <si>
    <t xml:space="preserve">Recommended activity</t>
  </si>
  <si>
    <t xml:space="preserve">P(lose a test now)</t>
  </si>
  <si>
    <t xml:space="preserve">Budget left (BU)</t>
  </si>
  <si>
    <t xml:space="preserve">R0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</si>
  <si>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</si>
  <si>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</si>
  <si>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</si>
  <si>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</si>
  <si>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</si>
  <si>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</si>
  <si>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Step 0 first: screen every candidate activity against cost, schedule and exposure and keep only the admissible ones.  Step 3: M &lt; M_req, K ≥ K_need and hazard ≤ h_max → integrated test.  Step 4 (and 3b): otherwise the admissible activity with the largest net K rate = K gain − hazard·δ_K.  Re-assess after every result.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</si>
</sst>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"/>
    <numFmt numFmtId="167" formatCode="0.0000"/>
    <numFmt numFmtId="168" formatCode="0.00"/>
    <numFmt numFmtId="169" formatCode="0.0%"/>
    <numFmt numFmtId="170" formatCode="0%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26.8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11" min="8" style="0" width="12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9" min="18" style="0" width="11"/>
  </cols>
  <sheetData>
    <row r="1" customFormat="false" ht="17.35" hidden="false" customHeight="false" outlineLevel="0" collapsed="false">
      <c r="A1" s="4" t="s">
        <v>13</v>
      </c>
    </row>
    <row r="3" customFormat="false" ht="15" hidden="false" customHeight="false" outlineLevel="0" collapsed="false">
      <c r="A3" s="5" t="s">
        <v>14</v>
      </c>
      <c r="B3" s="6" t="n">
        <v>0.9</v>
      </c>
      <c r="C3" s="7" t="s">
        <v>15</v>
      </c>
    </row>
    <row r="4" customFormat="false" ht="15" hidden="false" customHeight="false" outlineLevel="0" collapsed="false">
      <c r="A4" s="5" t="s">
        <v>16</v>
      </c>
      <c r="B4" s="6" t="n">
        <v>0.5</v>
      </c>
      <c r="C4" s="7" t="s">
        <v>17</v>
      </c>
    </row>
    <row r="6" customFormat="false" ht="48" hidden="false" customHeight="true" outlineLevel="0" collapsed="false">
      <c r="A6" s="8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27</v>
      </c>
      <c r="K6" s="8" t="s">
        <v>28</v>
      </c>
      <c r="N6" s="8" t="s">
        <v>29</v>
      </c>
      <c r="O6" s="8" t="s">
        <v>30</v>
      </c>
      <c r="P6" s="8" t="s">
        <v>31</v>
      </c>
      <c r="Q6" s="8" t="s">
        <v>32</v>
      </c>
      <c r="R6" s="8" t="s">
        <v>33</v>
      </c>
      <c r="S6" s="8" t="s">
        <v>34</v>
      </c>
    </row>
    <row r="7" customFormat="false" ht="15" hidden="false" customHeight="false" outlineLevel="0" collapsed="false">
      <c r="A7" s="5" t="n">
        <v>1</v>
      </c>
      <c r="B7" s="6" t="n">
        <v>0.1</v>
      </c>
      <c r="C7" s="6" t="n">
        <v>2</v>
      </c>
      <c r="D7" s="6" t="n">
        <v>1</v>
      </c>
      <c r="E7" s="9" t="n">
        <f aca="false">IF(B7="",0,(1-B7)^2*C7)</f>
        <v>1.62</v>
      </c>
      <c r="F7" s="10" t="n">
        <f aca="false">IF(B7="",0,IF(D7=1,1,0))</f>
        <v>1</v>
      </c>
      <c r="G7" s="10" t="n">
        <f aca="false">IF(B7="",0,IF(D7=0,1,0))</f>
        <v>0</v>
      </c>
      <c r="H7" s="9" t="n">
        <f aca="false">IF(OR(B7="",B8=""),0,B8-B7)</f>
        <v>0.06</v>
      </c>
      <c r="I7" s="9" t="n">
        <f aca="false">IF(OR(B7="",B8=""),0,(1-B7)*C7)</f>
        <v>1.8</v>
      </c>
      <c r="J7" s="11" t="n">
        <f aca="false">H7*I7</f>
        <v>0.108</v>
      </c>
      <c r="K7" s="11" t="n">
        <f aca="false">I7^2</f>
        <v>3.24</v>
      </c>
      <c r="N7" s="12" t="n">
        <v>0.05</v>
      </c>
      <c r="O7" s="9" t="n">
        <f aca="false">SUMPRODUCT($F$7:$F$26,LN(1-EXP(-N7*$E$7:$E$26)+0.000000000001))-N7*SUMPRODUCT($G$7:$G$26,$E$7:$E$26)</f>
        <v>-20.7837815614774</v>
      </c>
      <c r="P7" s="9" t="n">
        <f aca="false">-0.5*((LN(N7)-LN($B$3))/$B$4)^2-LN(N7)</f>
        <v>-13.7127655241335</v>
      </c>
      <c r="Q7" s="9" t="n">
        <f aca="false">O7+P7</f>
        <v>-34.4965470856109</v>
      </c>
      <c r="R7" s="11" t="n">
        <f aca="false">EXP(Q7-MAX($Q$7:$Q$506))</f>
        <v>3.16424596677804E-014</v>
      </c>
      <c r="S7" s="11" t="n">
        <f aca="false">SUM($R$7:R7)/SUM($R$7:$R$506)</f>
        <v>2.47949958306161E-016</v>
      </c>
    </row>
    <row r="8" customFormat="false" ht="15" hidden="false" customHeight="false" outlineLevel="0" collapsed="false">
      <c r="A8" s="5" t="n">
        <v>2</v>
      </c>
      <c r="B8" s="6" t="n">
        <v>0.16</v>
      </c>
      <c r="C8" s="6" t="n">
        <v>2</v>
      </c>
      <c r="D8" s="6" t="n">
        <v>1</v>
      </c>
      <c r="E8" s="9" t="n">
        <f aca="false">IF(B8="",0,(1-B8)^2*C8)</f>
        <v>1.4112</v>
      </c>
      <c r="F8" s="10" t="n">
        <f aca="false">IF(B8="",0,IF(D8=1,1,0))</f>
        <v>1</v>
      </c>
      <c r="G8" s="10" t="n">
        <f aca="false">IF(B8="",0,IF(D8=0,1,0))</f>
        <v>0</v>
      </c>
      <c r="H8" s="9" t="n">
        <f aca="false">IF(OR(B8="",B9=""),0,B9-B8)</f>
        <v>0.05</v>
      </c>
      <c r="I8" s="9" t="n">
        <f aca="false">IF(OR(B8="",B9=""),0,(1-B8)*C8)</f>
        <v>1.68</v>
      </c>
      <c r="J8" s="11" t="n">
        <f aca="false">H8*I8</f>
        <v>0.084</v>
      </c>
      <c r="K8" s="11" t="n">
        <f aca="false">I8^2</f>
        <v>2.8224</v>
      </c>
      <c r="N8" s="12" t="n">
        <f aca="false">N7+0.01</f>
        <v>0.06</v>
      </c>
      <c r="O8" s="9" t="n">
        <f aca="false">SUMPRODUCT($F$7:$F$26,LN(1-EXP(-N8*$E$7:$E$26)+0.000000000001))-N8*SUMPRODUCT($G$7:$G$26,$E$7:$E$26)</f>
        <v>-19.5514078411259</v>
      </c>
      <c r="P8" s="9" t="n">
        <f aca="false">-0.5*((LN(N8)-LN($B$3))/$B$4)^2-LN(N8)</f>
        <v>-11.8536610666194</v>
      </c>
      <c r="Q8" s="9" t="n">
        <f aca="false">O8+P8</f>
        <v>-31.4050689077453</v>
      </c>
      <c r="R8" s="11" t="n">
        <f aca="false">EXP(Q8-MAX($Q$7:$Q$506))</f>
        <v>6.96437501476618E-013</v>
      </c>
      <c r="S8" s="11" t="n">
        <f aca="false">SUM($R$7:R8)/SUM($R$7:$R$506)</f>
        <v>5.7052263921545E-015</v>
      </c>
    </row>
    <row r="9" customFormat="false" ht="15" hidden="false" customHeight="false" outlineLevel="0" collapsed="false">
      <c r="A9" s="5" t="n">
        <v>3</v>
      </c>
      <c r="B9" s="6" t="n">
        <v>0.21</v>
      </c>
      <c r="C9" s="6" t="n">
        <v>2</v>
      </c>
      <c r="D9" s="6" t="n">
        <v>1</v>
      </c>
      <c r="E9" s="9" t="n">
        <f aca="false">IF(B9="",0,(1-B9)^2*C9)</f>
        <v>1.2482</v>
      </c>
      <c r="F9" s="10" t="n">
        <f aca="false">IF(B9="",0,IF(D9=1,1,0))</f>
        <v>1</v>
      </c>
      <c r="G9" s="10" t="n">
        <f aca="false">IF(B9="",0,IF(D9=0,1,0))</f>
        <v>0</v>
      </c>
      <c r="H9" s="9" t="n">
        <f aca="false">IF(OR(B9="",B10=""),0,B10-B9)</f>
        <v>0.06</v>
      </c>
      <c r="I9" s="9" t="n">
        <f aca="false">IF(OR(B9="",B10=""),0,(1-B9)*C9)</f>
        <v>1.58</v>
      </c>
      <c r="J9" s="11" t="n">
        <f aca="false">H9*I9</f>
        <v>0.0948000000000001</v>
      </c>
      <c r="K9" s="11" t="n">
        <f aca="false">I9^2</f>
        <v>2.4964</v>
      </c>
      <c r="N9" s="12" t="n">
        <f aca="false">N8+0.01</f>
        <v>0.07</v>
      </c>
      <c r="O9" s="9" t="n">
        <f aca="false">SUMPRODUCT($F$7:$F$26,LN(1-EXP(-N9*$E$7:$E$26)+0.000000000001))-N9*SUMPRODUCT($G$7:$G$26,$E$7:$E$26)</f>
        <v>-18.5161532180646</v>
      </c>
      <c r="P9" s="9" t="n">
        <f aca="false">-0.5*((LN(N9)-LN($B$3))/$B$4)^2-LN(N9)</f>
        <v>-10.3855454926041</v>
      </c>
      <c r="Q9" s="9" t="n">
        <f aca="false">O9+P9</f>
        <v>-28.9016987106687</v>
      </c>
      <c r="R9" s="11" t="n">
        <f aca="false">EXP(Q9-MAX($Q$7:$Q$506))</f>
        <v>8.51298781041471E-012</v>
      </c>
      <c r="S9" s="11" t="n">
        <f aca="false">SUM($R$7:R9)/SUM($R$7:$R$506)</f>
        <v>7.24129031914546E-014</v>
      </c>
    </row>
    <row r="10" customFormat="false" ht="15" hidden="false" customHeight="false" outlineLevel="0" collapsed="false">
      <c r="A10" s="5" t="n">
        <v>4</v>
      </c>
      <c r="B10" s="6" t="n">
        <v>0.27</v>
      </c>
      <c r="C10" s="6" t="n">
        <v>2</v>
      </c>
      <c r="D10" s="6" t="n">
        <v>1</v>
      </c>
      <c r="E10" s="9" t="n">
        <f aca="false">IF(B10="",0,(1-B10)^2*C10)</f>
        <v>1.0658</v>
      </c>
      <c r="F10" s="10" t="n">
        <f aca="false">IF(B10="",0,IF(D10=1,1,0))</f>
        <v>1</v>
      </c>
      <c r="G10" s="10" t="n">
        <f aca="false">IF(B10="",0,IF(D10=0,1,0))</f>
        <v>0</v>
      </c>
      <c r="H10" s="9" t="n">
        <f aca="false">IF(OR(B10="",B11=""),0,B11-B10)</f>
        <v>0.05</v>
      </c>
      <c r="I10" s="9" t="n">
        <f aca="false">IF(OR(B10="",B11=""),0,(1-B10)*C10)</f>
        <v>1.46</v>
      </c>
      <c r="J10" s="11" t="n">
        <f aca="false">H10*I10</f>
        <v>0.073</v>
      </c>
      <c r="K10" s="11" t="n">
        <f aca="false">I10^2</f>
        <v>2.1316</v>
      </c>
      <c r="N10" s="12" t="n">
        <f aca="false">N9+0.01</f>
        <v>0.08</v>
      </c>
      <c r="O10" s="9" t="n">
        <f aca="false">SUMPRODUCT($F$7:$F$26,LN(1-EXP(-N10*$E$7:$E$26)+0.000000000001))-N10*SUMPRODUCT($G$7:$G$26,$E$7:$E$26)</f>
        <v>-17.6251565725574</v>
      </c>
      <c r="P10" s="9" t="n">
        <f aca="false">-0.5*((LN(N10)-LN($B$3))/$B$4)^2-LN(N10)</f>
        <v>-9.19063511206531</v>
      </c>
      <c r="Q10" s="9" t="n">
        <f aca="false">O10+P10</f>
        <v>-26.8157916846227</v>
      </c>
      <c r="R10" s="11" t="n">
        <f aca="false">EXP(Q10-MAX($Q$7:$Q$506))</f>
        <v>6.85456537291268E-011</v>
      </c>
      <c r="S10" s="11" t="n">
        <f aca="false">SUM($R$7:R10)/SUM($R$7:$R$506)</f>
        <v>6.09535875382881E-013</v>
      </c>
    </row>
    <row r="11" customFormat="false" ht="15" hidden="false" customHeight="false" outlineLevel="0" collapsed="false">
      <c r="A11" s="5" t="n">
        <v>5</v>
      </c>
      <c r="B11" s="6" t="n">
        <v>0.32</v>
      </c>
      <c r="C11" s="6" t="n">
        <v>2</v>
      </c>
      <c r="D11" s="6" t="n">
        <v>1</v>
      </c>
      <c r="E11" s="9" t="n">
        <f aca="false">IF(B11="",0,(1-B11)^2*C11)</f>
        <v>0.9248</v>
      </c>
      <c r="F11" s="10" t="n">
        <f aca="false">IF(B11="",0,IF(D11=1,1,0))</f>
        <v>1</v>
      </c>
      <c r="G11" s="10" t="n">
        <f aca="false">IF(B11="",0,IF(D11=0,1,0))</f>
        <v>0</v>
      </c>
      <c r="H11" s="9" t="n">
        <f aca="false">IF(OR(B11="",B12=""),0,B12-B11)</f>
        <v>0.05</v>
      </c>
      <c r="I11" s="9" t="n">
        <f aca="false">IF(OR(B11="",B12=""),0,(1-B11)*C11)</f>
        <v>1.36</v>
      </c>
      <c r="J11" s="11" t="n">
        <f aca="false">H11*I11</f>
        <v>0.068</v>
      </c>
      <c r="K11" s="11" t="n">
        <f aca="false">I11^2</f>
        <v>1.8496</v>
      </c>
      <c r="N11" s="12" t="n">
        <f aca="false">N10+0.01</f>
        <v>0.09</v>
      </c>
      <c r="O11" s="9" t="n">
        <f aca="false">SUMPRODUCT($F$7:$F$26,LN(1-EXP(-N11*$E$7:$E$26)+0.000000000001))-N11*SUMPRODUCT($G$7:$G$26,$E$7:$E$26)</f>
        <v>-16.8443214028947</v>
      </c>
      <c r="P11" s="9" t="n">
        <f aca="false">-0.5*((LN(N11)-LN($B$3))/$B$4)^2-LN(N11)</f>
        <v>-8.19585061230493</v>
      </c>
      <c r="Q11" s="9" t="n">
        <f aca="false">O11+P11</f>
        <v>-25.0401720151996</v>
      </c>
      <c r="R11" s="11" t="n">
        <f aca="false">EXP(Q11-MAX($Q$7:$Q$506))</f>
        <v>4.04689323591981E-010</v>
      </c>
      <c r="S11" s="11" t="n">
        <f aca="false">SUM($R$7:R11)/SUM($R$7:$R$506)</f>
        <v>3.78067686647825E-012</v>
      </c>
    </row>
    <row r="12" customFormat="false" ht="15" hidden="false" customHeight="false" outlineLevel="0" collapsed="false">
      <c r="A12" s="5" t="n">
        <v>6</v>
      </c>
      <c r="B12" s="6" t="n">
        <v>0.37</v>
      </c>
      <c r="C12" s="6" t="n">
        <v>2</v>
      </c>
      <c r="D12" s="6" t="n">
        <v>1</v>
      </c>
      <c r="E12" s="9" t="n">
        <f aca="false">IF(B12="",0,(1-B12)^2*C12)</f>
        <v>0.7938</v>
      </c>
      <c r="F12" s="10" t="n">
        <f aca="false">IF(B12="",0,IF(D12=1,1,0))</f>
        <v>1</v>
      </c>
      <c r="G12" s="10" t="n">
        <f aca="false">IF(B12="",0,IF(D12=0,1,0))</f>
        <v>0</v>
      </c>
      <c r="H12" s="9" t="n">
        <f aca="false">IF(OR(B12="",B13=""),0,B13-B12)</f>
        <v>0.05</v>
      </c>
      <c r="I12" s="9" t="n">
        <f aca="false">IF(OR(B12="",B13=""),0,(1-B12)*C12)</f>
        <v>1.26</v>
      </c>
      <c r="J12" s="11" t="n">
        <f aca="false">H12*I12</f>
        <v>0.063</v>
      </c>
      <c r="K12" s="11" t="n">
        <f aca="false">I12^2</f>
        <v>1.5876</v>
      </c>
      <c r="N12" s="12" t="n">
        <f aca="false">N11+0.01</f>
        <v>0.1</v>
      </c>
      <c r="O12" s="9" t="n">
        <f aca="false">SUMPRODUCT($F$7:$F$26,LN(1-EXP(-N12*$E$7:$E$26)+0.000000000001))-N12*SUMPRODUCT($G$7:$G$26,$E$7:$E$26)</f>
        <v>-16.1503668615428</v>
      </c>
      <c r="P12" s="9" t="n">
        <f aca="false">-0.5*((LN(N12)-LN($B$3))/$B$4)^2-LN(N12)</f>
        <v>-7.35300659350661</v>
      </c>
      <c r="Q12" s="9" t="n">
        <f aca="false">O12+P12</f>
        <v>-23.5033734550494</v>
      </c>
      <c r="R12" s="11" t="n">
        <f aca="false">EXP(Q12-MAX($Q$7:$Q$506))</f>
        <v>1.8816761554192E-009</v>
      </c>
      <c r="S12" s="11" t="n">
        <f aca="false">SUM($R$7:R12)/SUM($R$7:$R$506)</f>
        <v>1.85254700709383E-011</v>
      </c>
    </row>
    <row r="13" customFormat="false" ht="15" hidden="false" customHeight="false" outlineLevel="0" collapsed="false">
      <c r="A13" s="5" t="n">
        <v>7</v>
      </c>
      <c r="B13" s="6" t="n">
        <v>0.42</v>
      </c>
      <c r="C13" s="6" t="n">
        <v>2</v>
      </c>
      <c r="D13" s="6" t="n">
        <v>1</v>
      </c>
      <c r="E13" s="9" t="n">
        <f aca="false">IF(B13="",0,(1-B13)^2*C13)</f>
        <v>0.6728</v>
      </c>
      <c r="F13" s="10" t="n">
        <f aca="false">IF(B13="",0,IF(D13=1,1,0))</f>
        <v>1</v>
      </c>
      <c r="G13" s="10" t="n">
        <f aca="false">IF(B13="",0,IF(D13=0,1,0))</f>
        <v>0</v>
      </c>
      <c r="H13" s="9" t="n">
        <f aca="false">IF(OR(B13="",B14=""),0,B14-B13)</f>
        <v>0.05</v>
      </c>
      <c r="I13" s="9" t="n">
        <f aca="false">IF(OR(B13="",B14=""),0,(1-B13)*C13)</f>
        <v>1.16</v>
      </c>
      <c r="J13" s="11" t="n">
        <f aca="false">H13*I13</f>
        <v>0.058</v>
      </c>
      <c r="K13" s="11" t="n">
        <f aca="false">I13^2</f>
        <v>1.3456</v>
      </c>
      <c r="N13" s="12" t="n">
        <f aca="false">N12+0.01</f>
        <v>0.11</v>
      </c>
      <c r="O13" s="9" t="n">
        <f aca="false">SUMPRODUCT($F$7:$F$26,LN(1-EXP(-N13*$E$7:$E$26)+0.000000000001))-N13*SUMPRODUCT($G$7:$G$26,$E$7:$E$26)</f>
        <v>-15.5266876720597</v>
      </c>
      <c r="P13" s="9" t="n">
        <f aca="false">-0.5*((LN(N13)-LN($B$3))/$B$4)^2-LN(N13)</f>
        <v>-6.62881335591402</v>
      </c>
      <c r="Q13" s="9" t="n">
        <f aca="false">O13+P13</f>
        <v>-22.1555010279737</v>
      </c>
      <c r="R13" s="11" t="n">
        <f aca="false">EXP(Q13-MAX($Q$7:$Q$506))</f>
        <v>7.24299922877713E-009</v>
      </c>
      <c r="S13" s="11" t="n">
        <f aca="false">SUM($R$7:R13)/SUM($R$7:$R$506)</f>
        <v>7.52815306187693E-011</v>
      </c>
    </row>
    <row r="14" customFormat="false" ht="15" hidden="false" customHeight="false" outlineLevel="0" collapsed="false">
      <c r="A14" s="5" t="n">
        <v>8</v>
      </c>
      <c r="B14" s="6" t="n">
        <v>0.47</v>
      </c>
      <c r="C14" s="6" t="n">
        <v>2</v>
      </c>
      <c r="D14" s="6" t="n">
        <v>0</v>
      </c>
      <c r="E14" s="9" t="n">
        <f aca="false">IF(B14="",0,(1-B14)^2*C14)</f>
        <v>0.5618</v>
      </c>
      <c r="F14" s="10" t="n">
        <f aca="false">IF(B14="",0,IF(D14=1,1,0))</f>
        <v>0</v>
      </c>
      <c r="G14" s="10" t="n">
        <f aca="false">IF(B14="",0,IF(D14=0,1,0))</f>
        <v>1</v>
      </c>
      <c r="H14" s="9" t="n">
        <f aca="false">IF(OR(B14="",B15=""),0,B15-B14)</f>
        <v>0</v>
      </c>
      <c r="I14" s="9" t="n">
        <f aca="false">IF(OR(B14="",B15=""),0,(1-B14)*C14)</f>
        <v>0</v>
      </c>
      <c r="J14" s="11" t="n">
        <f aca="false">H14*I14</f>
        <v>0</v>
      </c>
      <c r="K14" s="11" t="n">
        <f aca="false">I14^2</f>
        <v>0</v>
      </c>
      <c r="N14" s="12" t="n">
        <f aca="false">N13+0.01</f>
        <v>0.12</v>
      </c>
      <c r="O14" s="9" t="n">
        <f aca="false">SUMPRODUCT($F$7:$F$26,LN(1-EXP(-N14*$E$7:$E$26)+0.000000000001))-N14*SUMPRODUCT($G$7:$G$26,$E$7:$E$26)</f>
        <v>-14.9610231170658</v>
      </c>
      <c r="P14" s="9" t="n">
        <f aca="false">-0.5*((LN(N14)-LN($B$3))/$B$4)^2-LN(N14)</f>
        <v>-5.99940482818059</v>
      </c>
      <c r="Q14" s="9" t="n">
        <f aca="false">O14+P14</f>
        <v>-20.9604279452463</v>
      </c>
      <c r="R14" s="11" t="n">
        <f aca="false">EXP(Q14-MAX($Q$7:$Q$506))</f>
        <v>2.39294151469845E-008</v>
      </c>
      <c r="S14" s="11" t="n">
        <f aca="false">SUM($R$7:R14)/SUM($R$7:$R$506)</f>
        <v>2.62792158751991E-010</v>
      </c>
    </row>
    <row r="15" customFormat="false" ht="15" hidden="false" customHeight="false" outlineLevel="0" collapsed="false">
      <c r="A15" s="5" t="n">
        <v>9</v>
      </c>
      <c r="B15" s="6"/>
      <c r="C15" s="6"/>
      <c r="D15" s="6"/>
      <c r="E15" s="9" t="n">
        <f aca="false">IF(B15="",0,(1-B15)^2*C15)</f>
        <v>0</v>
      </c>
      <c r="F15" s="10" t="n">
        <f aca="false">IF(B15="",0,IF(D15=1,1,0))</f>
        <v>0</v>
      </c>
      <c r="G15" s="10" t="n">
        <f aca="false">IF(B15="",0,IF(D15=0,1,0))</f>
        <v>0</v>
      </c>
      <c r="H15" s="9" t="n">
        <f aca="false">IF(OR(B15="",B16=""),0,B16-B15)</f>
        <v>0</v>
      </c>
      <c r="I15" s="9" t="n">
        <f aca="false">IF(OR(B15="",B16=""),0,(1-B15)*C15)</f>
        <v>0</v>
      </c>
      <c r="J15" s="11" t="n">
        <f aca="false">H15*I15</f>
        <v>0</v>
      </c>
      <c r="K15" s="11" t="n">
        <f aca="false">I15^2</f>
        <v>0</v>
      </c>
      <c r="N15" s="12" t="n">
        <f aca="false">N14+0.01</f>
        <v>0.13</v>
      </c>
      <c r="O15" s="9" t="n">
        <f aca="false">SUMPRODUCT($F$7:$F$26,LN(1-EXP(-N15*$E$7:$E$26)+0.000000000001))-N15*SUMPRODUCT($G$7:$G$26,$E$7:$E$26)</f>
        <v>-14.4440622772804</v>
      </c>
      <c r="P15" s="9" t="n">
        <f aca="false">-0.5*((LN(N15)-LN($B$3))/$B$4)^2-LN(N15)</f>
        <v>-5.44714803210239</v>
      </c>
      <c r="Q15" s="9" t="n">
        <f aca="false">O15+P15</f>
        <v>-19.8912103093828</v>
      </c>
      <c r="R15" s="11" t="n">
        <f aca="false">EXP(Q15-MAX($Q$7:$Q$506))</f>
        <v>6.97087673866446E-008</v>
      </c>
      <c r="S15" s="11" t="n">
        <f aca="false">SUM($R$7:R15)/SUM($R$7:$R$506)</f>
        <v>8.09029276490722E-010</v>
      </c>
    </row>
    <row r="16" customFormat="false" ht="15" hidden="false" customHeight="false" outlineLevel="0" collapsed="false">
      <c r="A16" s="5" t="n">
        <v>10</v>
      </c>
      <c r="B16" s="6"/>
      <c r="C16" s="6"/>
      <c r="D16" s="6"/>
      <c r="E16" s="9" t="n">
        <f aca="false">IF(B16="",0,(1-B16)^2*C16)</f>
        <v>0</v>
      </c>
      <c r="F16" s="10" t="n">
        <f aca="false">IF(B16="",0,IF(D16=1,1,0))</f>
        <v>0</v>
      </c>
      <c r="G16" s="10" t="n">
        <f aca="false">IF(B16="",0,IF(D16=0,1,0))</f>
        <v>0</v>
      </c>
      <c r="H16" s="9" t="n">
        <f aca="false">IF(OR(B16="",B17=""),0,B17-B16)</f>
        <v>0</v>
      </c>
      <c r="I16" s="9" t="n">
        <f aca="false">IF(OR(B16="",B17=""),0,(1-B16)*C16)</f>
        <v>0</v>
      </c>
      <c r="J16" s="11" t="n">
        <f aca="false">H16*I16</f>
        <v>0</v>
      </c>
      <c r="K16" s="11" t="n">
        <f aca="false">I16^2</f>
        <v>0</v>
      </c>
      <c r="N16" s="12" t="n">
        <f aca="false">N15+0.01</f>
        <v>0.14</v>
      </c>
      <c r="O16" s="9" t="n">
        <f aca="false">SUMPRODUCT($F$7:$F$26,LN(1-EXP(-N16*$E$7:$E$26)+0.000000000001))-N16*SUMPRODUCT($G$7:$G$26,$E$7:$E$26)</f>
        <v>-13.9685676326556</v>
      </c>
      <c r="P16" s="9" t="n">
        <f aca="false">-0.5*((LN(N16)-LN($B$3))/$B$4)^2-LN(N16)</f>
        <v>-4.95868569057992</v>
      </c>
      <c r="Q16" s="9" t="n">
        <f aca="false">O16+P16</f>
        <v>-18.9272533232355</v>
      </c>
      <c r="R16" s="11" t="n">
        <f aca="false">EXP(Q16-MAX($Q$7:$Q$506))</f>
        <v>1.82779970687387E-007</v>
      </c>
      <c r="S16" s="11" t="n">
        <f aca="false">SUM($R$7:R16)/SUM($R$7:$R$506)</f>
        <v>2.24129107241191E-009</v>
      </c>
    </row>
    <row r="17" customFormat="false" ht="15" hidden="false" customHeight="false" outlineLevel="0" collapsed="false">
      <c r="A17" s="5" t="n">
        <v>11</v>
      </c>
      <c r="B17" s="6"/>
      <c r="C17" s="6"/>
      <c r="D17" s="6"/>
      <c r="E17" s="9" t="n">
        <f aca="false">IF(B17="",0,(1-B17)^2*C17)</f>
        <v>0</v>
      </c>
      <c r="F17" s="10" t="n">
        <f aca="false">IF(B17="",0,IF(D17=1,1,0))</f>
        <v>0</v>
      </c>
      <c r="G17" s="10" t="n">
        <f aca="false">IF(B17="",0,IF(D17=0,1,0))</f>
        <v>0</v>
      </c>
      <c r="H17" s="9" t="n">
        <f aca="false">IF(OR(B17="",B18=""),0,B18-B17)</f>
        <v>0</v>
      </c>
      <c r="I17" s="9" t="n">
        <f aca="false">IF(OR(B17="",B18=""),0,(1-B17)*C17)</f>
        <v>0</v>
      </c>
      <c r="J17" s="11" t="n">
        <f aca="false">H17*I17</f>
        <v>0</v>
      </c>
      <c r="K17" s="11" t="n">
        <f aca="false">I17^2</f>
        <v>0</v>
      </c>
      <c r="N17" s="12" t="n">
        <f aca="false">N16+0.01</f>
        <v>0.15</v>
      </c>
      <c r="O17" s="9" t="n">
        <f aca="false">SUMPRODUCT($F$7:$F$26,LN(1-EXP(-N17*$E$7:$E$26)+0.000000000001))-N17*SUMPRODUCT($G$7:$G$26,$E$7:$E$26)</f>
        <v>-13.5288017570602</v>
      </c>
      <c r="P17" s="9" t="n">
        <f aca="false">-0.5*((LN(N17)-LN($B$3))/$B$4)^2-LN(N17)</f>
        <v>-4.52368400625092</v>
      </c>
      <c r="Q17" s="9" t="n">
        <f aca="false">O17+P17</f>
        <v>-18.0524857633111</v>
      </c>
      <c r="R17" s="11" t="n">
        <f aca="false">EXP(Q17-MAX($Q$7:$Q$506))</f>
        <v>4.38364450604983E-007</v>
      </c>
      <c r="S17" s="11" t="n">
        <f aca="false">SUM($R$7:R17)/SUM($R$7:$R$506)</f>
        <v>5.6763099802841E-009</v>
      </c>
    </row>
    <row r="18" customFormat="false" ht="15" hidden="false" customHeight="false" outlineLevel="0" collapsed="false">
      <c r="A18" s="5" t="n">
        <v>12</v>
      </c>
      <c r="B18" s="6"/>
      <c r="C18" s="6"/>
      <c r="D18" s="6"/>
      <c r="E18" s="9" t="n">
        <f aca="false">IF(B18="",0,(1-B18)^2*C18)</f>
        <v>0</v>
      </c>
      <c r="F18" s="10" t="n">
        <f aca="false">IF(B18="",0,IF(D18=1,1,0))</f>
        <v>0</v>
      </c>
      <c r="G18" s="10" t="n">
        <f aca="false">IF(B18="",0,IF(D18=0,1,0))</f>
        <v>0</v>
      </c>
      <c r="H18" s="9" t="n">
        <f aca="false">IF(OR(B18="",B19=""),0,B19-B18)</f>
        <v>0</v>
      </c>
      <c r="I18" s="9" t="n">
        <f aca="false">IF(OR(B18="",B19=""),0,(1-B18)*C18)</f>
        <v>0</v>
      </c>
      <c r="J18" s="11" t="n">
        <f aca="false">H18*I18</f>
        <v>0</v>
      </c>
      <c r="K18" s="11" t="n">
        <f aca="false">I18^2</f>
        <v>0</v>
      </c>
      <c r="N18" s="12" t="n">
        <f aca="false">N17+0.01</f>
        <v>0.16</v>
      </c>
      <c r="O18" s="9" t="n">
        <f aca="false">SUMPRODUCT($F$7:$F$26,LN(1-EXP(-N18*$E$7:$E$26)+0.000000000001))-N18*SUMPRODUCT($G$7:$G$26,$E$7:$E$26)</f>
        <v>-13.1201394174257</v>
      </c>
      <c r="P18" s="9" t="n">
        <f aca="false">-0.5*((LN(N18)-LN($B$3))/$B$4)^2-LN(N18)</f>
        <v>-4.13400294329687</v>
      </c>
      <c r="Q18" s="9" t="n">
        <f aca="false">O18+P18</f>
        <v>-17.2541423607226</v>
      </c>
      <c r="R18" s="11" t="n">
        <f aca="false">EXP(Q18-MAX($Q$7:$Q$506))</f>
        <v>9.73983191187534E-007</v>
      </c>
      <c r="S18" s="11" t="n">
        <f aca="false">SUM($R$7:R18)/SUM($R$7:$R$506)</f>
        <v>1.33084313191873E-008</v>
      </c>
    </row>
    <row r="19" customFormat="false" ht="15" hidden="false" customHeight="false" outlineLevel="0" collapsed="false">
      <c r="A19" s="5" t="n">
        <v>13</v>
      </c>
      <c r="B19" s="6"/>
      <c r="C19" s="6"/>
      <c r="D19" s="6"/>
      <c r="E19" s="9" t="n">
        <f aca="false">IF(B19="",0,(1-B19)^2*C19)</f>
        <v>0</v>
      </c>
      <c r="F19" s="10" t="n">
        <f aca="false">IF(B19="",0,IF(D19=1,1,0))</f>
        <v>0</v>
      </c>
      <c r="G19" s="10" t="n">
        <f aca="false">IF(B19="",0,IF(D19=0,1,0))</f>
        <v>0</v>
      </c>
      <c r="H19" s="9" t="n">
        <f aca="false">IF(OR(B19="",B20=""),0,B20-B19)</f>
        <v>0</v>
      </c>
      <c r="I19" s="9" t="n">
        <f aca="false">IF(OR(B19="",B20=""),0,(1-B19)*C19)</f>
        <v>0</v>
      </c>
      <c r="J19" s="11" t="n">
        <f aca="false">H19*I19</f>
        <v>0</v>
      </c>
      <c r="K19" s="11" t="n">
        <f aca="false">I19^2</f>
        <v>0</v>
      </c>
      <c r="N19" s="12" t="n">
        <f aca="false">N18+0.01</f>
        <v>0.17</v>
      </c>
      <c r="O19" s="9" t="n">
        <f aca="false">SUMPRODUCT($F$7:$F$26,LN(1-EXP(-N19*$E$7:$E$26)+0.000000000001))-N19*SUMPRODUCT($G$7:$G$26,$E$7:$E$26)</f>
        <v>-12.7387974770187</v>
      </c>
      <c r="P19" s="9" t="n">
        <f aca="false">-0.5*((LN(N19)-LN($B$3))/$B$4)^2-LN(N19)</f>
        <v>-3.78312978756844</v>
      </c>
      <c r="Q19" s="9" t="n">
        <f aca="false">O19+P19</f>
        <v>-16.5219272645871</v>
      </c>
      <c r="R19" s="11" t="n">
        <f aca="false">EXP(Q19-MAX($Q$7:$Q$506))</f>
        <v>2.02557551099155E-006</v>
      </c>
      <c r="S19" s="11" t="n">
        <f aca="false">SUM($R$7:R19)/SUM($R$7:$R$506)</f>
        <v>2.91808182565321E-008</v>
      </c>
    </row>
    <row r="20" customFormat="false" ht="15" hidden="false" customHeight="false" outlineLevel="0" collapsed="false">
      <c r="A20" s="5" t="n">
        <v>14</v>
      </c>
      <c r="B20" s="6"/>
      <c r="C20" s="6"/>
      <c r="D20" s="6"/>
      <c r="E20" s="9" t="n">
        <f aca="false">IF(B20="",0,(1-B20)^2*C20)</f>
        <v>0</v>
      </c>
      <c r="F20" s="10" t="n">
        <f aca="false">IF(B20="",0,IF(D20=1,1,0))</f>
        <v>0</v>
      </c>
      <c r="G20" s="10" t="n">
        <f aca="false">IF(B20="",0,IF(D20=0,1,0))</f>
        <v>0</v>
      </c>
      <c r="H20" s="9" t="n">
        <f aca="false">IF(OR(B20="",B21=""),0,B21-B20)</f>
        <v>0</v>
      </c>
      <c r="I20" s="9" t="n">
        <f aca="false">IF(OR(B20="",B21=""),0,(1-B20)*C20)</f>
        <v>0</v>
      </c>
      <c r="J20" s="11" t="n">
        <f aca="false">H20*I20</f>
        <v>0</v>
      </c>
      <c r="K20" s="11" t="n">
        <f aca="false">I20^2</f>
        <v>0</v>
      </c>
      <c r="N20" s="12" t="n">
        <f aca="false">N19+0.01</f>
        <v>0.18</v>
      </c>
      <c r="O20" s="9" t="n">
        <f aca="false">SUMPRODUCT($F$7:$F$26,LN(1-EXP(-N20*$E$7:$E$26)+0.000000000001))-N20*SUMPRODUCT($G$7:$G$26,$E$7:$E$26)</f>
        <v>-12.3816421181998</v>
      </c>
      <c r="P20" s="9" t="n">
        <f aca="false">-0.5*((LN(N20)-LN($B$3))/$B$4)^2-LN(N20)</f>
        <v>-3.46578235986854</v>
      </c>
      <c r="Q20" s="9" t="n">
        <f aca="false">O20+P20</f>
        <v>-15.8474244780684</v>
      </c>
      <c r="R20" s="11" t="n">
        <f aca="false">EXP(Q20-MAX($Q$7:$Q$506))</f>
        <v>3.97631952763257E-006</v>
      </c>
      <c r="S20" s="11" t="n">
        <f aca="false">SUM($R$7:R20)/SUM($R$7:$R$506)</f>
        <v>6.03392133825715E-008</v>
      </c>
    </row>
    <row r="21" customFormat="false" ht="15" hidden="false" customHeight="false" outlineLevel="0" collapsed="false">
      <c r="A21" s="5" t="n">
        <v>15</v>
      </c>
      <c r="B21" s="6"/>
      <c r="C21" s="6"/>
      <c r="D21" s="6"/>
      <c r="E21" s="9" t="n">
        <f aca="false">IF(B21="",0,(1-B21)^2*C21)</f>
        <v>0</v>
      </c>
      <c r="F21" s="10" t="n">
        <f aca="false">IF(B21="",0,IF(D21=1,1,0))</f>
        <v>0</v>
      </c>
      <c r="G21" s="10" t="n">
        <f aca="false">IF(B21="",0,IF(D21=0,1,0))</f>
        <v>0</v>
      </c>
      <c r="H21" s="9" t="n">
        <f aca="false">IF(OR(B21="",B22=""),0,B22-B21)</f>
        <v>0</v>
      </c>
      <c r="I21" s="9" t="n">
        <f aca="false">IF(OR(B21="",B22=""),0,(1-B21)*C21)</f>
        <v>0</v>
      </c>
      <c r="J21" s="11" t="n">
        <f aca="false">H21*I21</f>
        <v>0</v>
      </c>
      <c r="K21" s="11" t="n">
        <f aca="false">I21^2</f>
        <v>0</v>
      </c>
      <c r="N21" s="12" t="n">
        <f aca="false">N20+0.01</f>
        <v>0.19</v>
      </c>
      <c r="O21" s="9" t="n">
        <f aca="false">SUMPRODUCT($F$7:$F$26,LN(1-EXP(-N21*$E$7:$E$26)+0.000000000001))-N21*SUMPRODUCT($G$7:$G$26,$E$7:$E$26)</f>
        <v>-12.0460482562018</v>
      </c>
      <c r="P21" s="9" t="n">
        <f aca="false">-0.5*((LN(N21)-LN($B$3))/$B$4)^2-LN(N21)</f>
        <v>-3.17762476704121</v>
      </c>
      <c r="Q21" s="9" t="n">
        <f aca="false">O21+P21</f>
        <v>-15.223673023243</v>
      </c>
      <c r="R21" s="11" t="n">
        <f aca="false">EXP(Q21-MAX($Q$7:$Q$506))</f>
        <v>7.41947354967295E-006</v>
      </c>
      <c r="S21" s="11" t="n">
        <f aca="false">SUM($R$7:R21)/SUM($R$7:$R$506)</f>
        <v>1.1847812472543E-007</v>
      </c>
    </row>
    <row r="22" customFormat="false" ht="15" hidden="false" customHeight="false" outlineLevel="0" collapsed="false">
      <c r="A22" s="5" t="n">
        <v>16</v>
      </c>
      <c r="B22" s="6"/>
      <c r="C22" s="6"/>
      <c r="D22" s="6"/>
      <c r="E22" s="9" t="n">
        <f aca="false">IF(B22="",0,(1-B22)^2*C22)</f>
        <v>0</v>
      </c>
      <c r="F22" s="10" t="n">
        <f aca="false">IF(B22="",0,IF(D22=1,1,0))</f>
        <v>0</v>
      </c>
      <c r="G22" s="10" t="n">
        <f aca="false">IF(B22="",0,IF(D22=0,1,0))</f>
        <v>0</v>
      </c>
      <c r="H22" s="9" t="n">
        <f aca="false">IF(OR(B22="",B23=""),0,B23-B22)</f>
        <v>0</v>
      </c>
      <c r="I22" s="9" t="n">
        <f aca="false">IF(OR(B22="",B23=""),0,(1-B22)*C22)</f>
        <v>0</v>
      </c>
      <c r="J22" s="11" t="n">
        <f aca="false">H22*I22</f>
        <v>0</v>
      </c>
      <c r="K22" s="11" t="n">
        <f aca="false">I22^2</f>
        <v>0</v>
      </c>
      <c r="N22" s="12" t="n">
        <f aca="false">N21+0.01</f>
        <v>0.2</v>
      </c>
      <c r="O22" s="9" t="n">
        <f aca="false">SUMPRODUCT($F$7:$F$26,LN(1-EXP(-N22*$E$7:$E$26)+0.000000000001))-N22*SUMPRODUCT($G$7:$G$26,$E$7:$E$26)</f>
        <v>-11.729795055601</v>
      </c>
      <c r="P22" s="9" t="n">
        <f aca="false">-0.5*((LN(N22)-LN($B$3))/$B$4)^2-LN(N22)</f>
        <v>-2.91505971855249</v>
      </c>
      <c r="Q22" s="9" t="n">
        <f aca="false">O22+P22</f>
        <v>-14.6448547741535</v>
      </c>
      <c r="R22" s="11" t="n">
        <f aca="false">EXP(Q22-MAX($Q$7:$Q$506))</f>
        <v>1.32358142143684E-005</v>
      </c>
      <c r="S22" s="11" t="n">
        <f aca="false">SUM($R$7:R22)/SUM($R$7:$R$506)</f>
        <v>2.22193816143137E-007</v>
      </c>
    </row>
    <row r="23" customFormat="false" ht="15" hidden="false" customHeight="false" outlineLevel="0" collapsed="false">
      <c r="A23" s="5" t="n">
        <v>17</v>
      </c>
      <c r="B23" s="6"/>
      <c r="C23" s="6"/>
      <c r="D23" s="6"/>
      <c r="E23" s="9" t="n">
        <f aca="false">IF(B23="",0,(1-B23)^2*C23)</f>
        <v>0</v>
      </c>
      <c r="F23" s="10" t="n">
        <f aca="false">IF(B23="",0,IF(D23=1,1,0))</f>
        <v>0</v>
      </c>
      <c r="G23" s="10" t="n">
        <f aca="false">IF(B23="",0,IF(D23=0,1,0))</f>
        <v>0</v>
      </c>
      <c r="H23" s="9" t="n">
        <f aca="false">IF(OR(B23="",B24=""),0,B24-B23)</f>
        <v>0</v>
      </c>
      <c r="I23" s="9" t="n">
        <f aca="false">IF(OR(B23="",B24=""),0,(1-B23)*C23)</f>
        <v>0</v>
      </c>
      <c r="J23" s="11" t="n">
        <f aca="false">H23*I23</f>
        <v>0</v>
      </c>
      <c r="K23" s="11" t="n">
        <f aca="false">I23^2</f>
        <v>0</v>
      </c>
      <c r="N23" s="12" t="n">
        <f aca="false">N22+0.01</f>
        <v>0.21</v>
      </c>
      <c r="O23" s="9" t="n">
        <f aca="false">SUMPRODUCT($F$7:$F$26,LN(1-EXP(-N23*$E$7:$E$26)+0.000000000001))-N23*SUMPRODUCT($G$7:$G$26,$E$7:$E$26)</f>
        <v>-11.4309869654329</v>
      </c>
      <c r="P23" s="9" t="n">
        <f aca="false">-0.5*((LN(N23)-LN($B$3))/$B$4)^2-LN(N23)</f>
        <v>-2.67507411051229</v>
      </c>
      <c r="Q23" s="9" t="n">
        <f aca="false">O23+P23</f>
        <v>-14.1060610759451</v>
      </c>
      <c r="R23" s="11" t="n">
        <f aca="false">EXP(Q23-MAX($Q$7:$Q$506))</f>
        <v>2.26853661085768E-005</v>
      </c>
      <c r="S23" s="11" t="n">
        <f aca="false">SUM($R$7:R23)/SUM($R$7:$R$506)</f>
        <v>3.99956089994087E-007</v>
      </c>
    </row>
    <row r="24" customFormat="false" ht="15" hidden="false" customHeight="false" outlineLevel="0" collapsed="false">
      <c r="A24" s="5" t="n">
        <v>18</v>
      </c>
      <c r="B24" s="6"/>
      <c r="C24" s="6"/>
      <c r="D24" s="6"/>
      <c r="E24" s="9" t="n">
        <f aca="false">IF(B24="",0,(1-B24)^2*C24)</f>
        <v>0</v>
      </c>
      <c r="F24" s="10" t="n">
        <f aca="false">IF(B24="",0,IF(D24=1,1,0))</f>
        <v>0</v>
      </c>
      <c r="G24" s="10" t="n">
        <f aca="false">IF(B24="",0,IF(D24=0,1,0))</f>
        <v>0</v>
      </c>
      <c r="H24" s="9" t="n">
        <f aca="false">IF(OR(B24="",B25=""),0,B25-B24)</f>
        <v>0</v>
      </c>
      <c r="I24" s="9" t="n">
        <f aca="false">IF(OR(B24="",B25=""),0,(1-B24)*C24)</f>
        <v>0</v>
      </c>
      <c r="J24" s="11" t="n">
        <f aca="false">H24*I24</f>
        <v>0</v>
      </c>
      <c r="K24" s="11" t="n">
        <f aca="false">I24^2</f>
        <v>0</v>
      </c>
      <c r="N24" s="12" t="n">
        <f aca="false">N23+0.01</f>
        <v>0.22</v>
      </c>
      <c r="O24" s="9" t="n">
        <f aca="false">SUMPRODUCT($F$7:$F$26,LN(1-EXP(-N24*$E$7:$E$26)+0.000000000001))-N24*SUMPRODUCT($G$7:$G$26,$E$7:$E$26)</f>
        <v>-11.1479931408997</v>
      </c>
      <c r="P24" s="9" t="n">
        <f aca="false">-0.5*((LN(N24)-LN($B$3))/$B$4)^2-LN(N24)</f>
        <v>-2.45512241060001</v>
      </c>
      <c r="Q24" s="9" t="n">
        <f aca="false">O24+P24</f>
        <v>-13.6031155514997</v>
      </c>
      <c r="R24" s="11" t="n">
        <f aca="false">EXP(Q24-MAX($Q$7:$Q$506))</f>
        <v>3.75121760982226E-005</v>
      </c>
      <c r="S24" s="11" t="n">
        <f aca="false">SUM($R$7:R24)/SUM($R$7:$R$506)</f>
        <v>6.93901080275561E-007</v>
      </c>
    </row>
    <row r="25" customFormat="false" ht="15" hidden="false" customHeight="false" outlineLevel="0" collapsed="false">
      <c r="A25" s="5" t="n">
        <v>19</v>
      </c>
      <c r="B25" s="6"/>
      <c r="C25" s="6"/>
      <c r="D25" s="6"/>
      <c r="E25" s="9" t="n">
        <f aca="false">IF(B25="",0,(1-B25)^2*C25)</f>
        <v>0</v>
      </c>
      <c r="F25" s="10" t="n">
        <f aca="false">IF(B25="",0,IF(D25=1,1,0))</f>
        <v>0</v>
      </c>
      <c r="G25" s="10" t="n">
        <f aca="false">IF(B25="",0,IF(D25=0,1,0))</f>
        <v>0</v>
      </c>
      <c r="H25" s="9" t="n">
        <f aca="false">IF(OR(B25="",B26=""),0,B26-B25)</f>
        <v>0</v>
      </c>
      <c r="I25" s="9" t="n">
        <f aca="false">IF(OR(B25="",B26=""),0,(1-B25)*C25)</f>
        <v>0</v>
      </c>
      <c r="J25" s="11" t="n">
        <f aca="false">H25*I25</f>
        <v>0</v>
      </c>
      <c r="K25" s="11" t="n">
        <f aca="false">I25^2</f>
        <v>0</v>
      </c>
      <c r="N25" s="12" t="n">
        <f aca="false">N24+0.01</f>
        <v>0.23</v>
      </c>
      <c r="O25" s="9" t="n">
        <f aca="false">SUMPRODUCT($F$7:$F$26,LN(1-EXP(-N25*$E$7:$E$26)+0.000000000001))-N25*SUMPRODUCT($G$7:$G$26,$E$7:$E$26)</f>
        <v>-10.8794003419933</v>
      </c>
      <c r="P25" s="9" t="n">
        <f aca="false">-0.5*((LN(N25)-LN($B$3))/$B$4)^2-LN(N25)</f>
        <v>-2.2530373481765</v>
      </c>
      <c r="Q25" s="9" t="n">
        <f aca="false">O25+P25</f>
        <v>-13.1324376901698</v>
      </c>
      <c r="R25" s="11" t="n">
        <f aca="false">EXP(Q25-MAX($Q$7:$Q$506))</f>
        <v>6.00599624625947E-005</v>
      </c>
      <c r="S25" s="11" t="n">
        <f aca="false">SUM($R$7:R25)/SUM($R$7:$R$506)</f>
        <v>1.16453027107875E-006</v>
      </c>
    </row>
    <row r="26" customFormat="false" ht="15" hidden="false" customHeight="false" outlineLevel="0" collapsed="false">
      <c r="A26" s="5" t="n">
        <v>20</v>
      </c>
      <c r="B26" s="6"/>
      <c r="C26" s="6"/>
      <c r="D26" s="6"/>
      <c r="E26" s="9" t="n">
        <f aca="false">IF(B26="",0,(1-B26)^2*C26)</f>
        <v>0</v>
      </c>
      <c r="F26" s="10" t="n">
        <f aca="false">IF(B26="",0,IF(D26=1,1,0))</f>
        <v>0</v>
      </c>
      <c r="G26" s="10" t="n">
        <f aca="false">IF(B26="",0,IF(D26=0,1,0))</f>
        <v>0</v>
      </c>
      <c r="H26" s="9" t="n">
        <v>0</v>
      </c>
      <c r="I26" s="9" t="n">
        <v>0</v>
      </c>
      <c r="J26" s="11" t="n">
        <f aca="false">H26*I26</f>
        <v>0</v>
      </c>
      <c r="K26" s="11" t="n">
        <f aca="false">I26^2</f>
        <v>0</v>
      </c>
      <c r="N26" s="12" t="n">
        <f aca="false">N25+0.01</f>
        <v>0.24</v>
      </c>
      <c r="O26" s="9" t="n">
        <f aca="false">SUMPRODUCT($F$7:$F$26,LN(1-EXP(-N26*$E$7:$E$26)+0.000000000001))-N26*SUMPRODUCT($G$7:$G$26,$E$7:$E$26)</f>
        <v>-10.6239758639092</v>
      </c>
      <c r="P26" s="9" t="n">
        <f aca="false">-0.5*((LN(N26)-LN($B$3))/$B$4)^2-LN(N26)</f>
        <v>-2.06696064541459</v>
      </c>
      <c r="Q26" s="9" t="n">
        <f aca="false">O26+P26</f>
        <v>-12.6909365093238</v>
      </c>
      <c r="R26" s="11" t="n">
        <f aca="false">EXP(Q26-MAX($Q$7:$Q$506))</f>
        <v>9.33956358158359E-005</v>
      </c>
      <c r="S26" s="11" t="n">
        <f aca="false">SUM($R$7:R26)/SUM($R$7:$R$506)</f>
        <v>1.89637742359622E-006</v>
      </c>
    </row>
    <row r="27" customFormat="false" ht="15" hidden="false" customHeight="false" outlineLevel="0" collapsed="false">
      <c r="N27" s="12" t="n">
        <f aca="false">N26+0.01</f>
        <v>0.25</v>
      </c>
      <c r="O27" s="9" t="n">
        <f aca="false">SUMPRODUCT($F$7:$F$26,LN(1-EXP(-N27*$E$7:$E$26)+0.000000000001))-N27*SUMPRODUCT($G$7:$G$26,$E$7:$E$26)</f>
        <v>-10.3806380397445</v>
      </c>
      <c r="P27" s="9" t="n">
        <f aca="false">-0.5*((LN(N27)-LN($B$3))/$B$4)^2-LN(N27)</f>
        <v>-1.89528867178057</v>
      </c>
      <c r="Q27" s="9" t="n">
        <f aca="false">O27+P27</f>
        <v>-12.2759267115251</v>
      </c>
      <c r="R27" s="11" t="n">
        <f aca="false">EXP(Q27-MAX($Q$7:$Q$506))</f>
        <v>0.000141437003952333</v>
      </c>
      <c r="S27" s="11" t="n">
        <f aca="false">SUM($R$7:R27)/SUM($R$7:$R$506)</f>
        <v>3.00467619686252E-006</v>
      </c>
    </row>
    <row r="28" customFormat="false" ht="15" hidden="false" customHeight="false" outlineLevel="0" collapsed="false">
      <c r="N28" s="12" t="n">
        <f aca="false">N27+0.01</f>
        <v>0.26</v>
      </c>
      <c r="O28" s="9" t="n">
        <f aca="false">SUMPRODUCT($F$7:$F$26,LN(1-EXP(-N28*$E$7:$E$26)+0.000000000001))-N28*SUMPRODUCT($G$7:$G$26,$E$7:$E$26)</f>
        <v>-10.148432531939</v>
      </c>
      <c r="P28" s="9" t="n">
        <f aca="false">-0.5*((LN(N28)-LN($B$3))/$B$4)^2-LN(N28)</f>
        <v>-1.73662935792957</v>
      </c>
      <c r="Q28" s="9" t="n">
        <f aca="false">O28+P28</f>
        <v>-11.8850618898686</v>
      </c>
      <c r="R28" s="11" t="n">
        <f aca="false">EXP(Q28-MAX($Q$7:$Q$506))</f>
        <v>0.000209080477542002</v>
      </c>
      <c r="S28" s="11" t="n">
        <f aca="false">SUM($R$7:R28)/SUM($R$7:$R$506)</f>
        <v>4.64302846888765E-006</v>
      </c>
    </row>
    <row r="29" customFormat="false" ht="15" hidden="false" customHeight="false" outlineLevel="0" collapsed="false">
      <c r="A29" s="13" t="s">
        <v>35</v>
      </c>
      <c r="N29" s="12" t="n">
        <f aca="false">N28+0.01</f>
        <v>0.27</v>
      </c>
      <c r="O29" s="9" t="n">
        <f aca="false">SUMPRODUCT($F$7:$F$26,LN(1-EXP(-N29*$E$7:$E$26)+0.000000000001))-N29*SUMPRODUCT($G$7:$G$26,$E$7:$E$26)</f>
        <v>-9.92651310056338</v>
      </c>
      <c r="P29" s="9" t="n">
        <f aca="false">-0.5*((LN(N29)-LN($B$3))/$B$4)^2-LN(N29)</f>
        <v>-1.58976770712915</v>
      </c>
      <c r="Q29" s="9" t="n">
        <f aca="false">O29+P29</f>
        <v>-11.5162808076925</v>
      </c>
      <c r="R29" s="11" t="n">
        <f aca="false">EXP(Q29-MAX($Q$7:$Q$506))</f>
        <v>0.000302324311414029</v>
      </c>
      <c r="S29" s="11" t="n">
        <f aca="false">SUM($R$7:R29)/SUM($R$7:$R$506)</f>
        <v>7.01203837510477E-006</v>
      </c>
    </row>
    <row r="30" customFormat="false" ht="15" hidden="false" customHeight="false" outlineLevel="0" collapsed="false">
      <c r="A30" s="5" t="s">
        <v>36</v>
      </c>
      <c r="B30" s="14" t="n">
        <f aca="false">INDEX(N$7:N$506,MATCH(MAX(O$7:O$506),O$7:O$506,0))</f>
        <v>2.54999999999999</v>
      </c>
      <c r="N30" s="12" t="n">
        <f aca="false">N29+0.01</f>
        <v>0.28</v>
      </c>
      <c r="O30" s="9" t="n">
        <f aca="false">SUMPRODUCT($F$7:$F$26,LN(1-EXP(-N30*$E$7:$E$26)+0.000000000001))-N30*SUMPRODUCT($G$7:$G$26,$E$7:$E$26)</f>
        <v>-9.71412587083774</v>
      </c>
      <c r="P30" s="9" t="n">
        <f aca="false">-0.5*((LN(N30)-LN($B$3))/$B$4)^2-LN(N30)</f>
        <v>-1.45363794422856</v>
      </c>
      <c r="Q30" s="9" t="n">
        <f aca="false">O30+P30</f>
        <v>-11.1677638150663</v>
      </c>
      <c r="R30" s="11" t="n">
        <f aca="false">EXP(Q30-MAX($Q$7:$Q$506))</f>
        <v>0.00042838285324181</v>
      </c>
      <c r="S30" s="11" t="n">
        <f aca="false">SUM($R$7:R30)/SUM($R$7:$R$506)</f>
        <v>1.03688415982289E-005</v>
      </c>
    </row>
    <row r="31" customFormat="false" ht="15" hidden="false" customHeight="false" outlineLevel="0" collapsed="false">
      <c r="A31" s="5" t="s">
        <v>37</v>
      </c>
      <c r="B31" s="14" t="n">
        <f aca="false">INDEX(N$7:N$506,MATCH(0.5,S$7:S$506,1)+1)</f>
        <v>1.48</v>
      </c>
      <c r="N31" s="12" t="n">
        <f aca="false">N30+0.01</f>
        <v>0.29</v>
      </c>
      <c r="O31" s="9" t="n">
        <f aca="false">SUMPRODUCT($F$7:$F$26,LN(1-EXP(-N31*$E$7:$E$26)+0.000000000001))-N31*SUMPRODUCT($G$7:$G$26,$E$7:$E$26)</f>
        <v>-9.51059636260428</v>
      </c>
      <c r="P31" s="9" t="n">
        <f aca="false">-0.5*((LN(N31)-LN($B$3))/$B$4)^2-LN(N31)</f>
        <v>-1.32730084113886</v>
      </c>
      <c r="Q31" s="9" t="n">
        <f aca="false">O31+P31</f>
        <v>-10.8378972037431</v>
      </c>
      <c r="R31" s="11" t="n">
        <f aca="false">EXP(Q31-MAX($Q$7:$Q$506))</f>
        <v>0.000595787419043711</v>
      </c>
      <c r="S31" s="11" t="n">
        <f aca="false">SUM($R$7:R31)/SUM($R$7:$R$506)</f>
        <v>1.50374251174059E-005</v>
      </c>
    </row>
    <row r="32" customFormat="false" ht="15" hidden="false" customHeight="false" outlineLevel="0" collapsed="false">
      <c r="A32" s="5" t="s">
        <v>38</v>
      </c>
      <c r="B32" s="14" t="n">
        <f aca="false">INDEX(N$7:N$506,MATCH(0.05,S$7:S$506,1)+1)</f>
        <v>0.800000000000001</v>
      </c>
      <c r="N32" s="12" t="n">
        <f aca="false">N31+0.01</f>
        <v>0.3</v>
      </c>
      <c r="O32" s="9" t="n">
        <f aca="false">SUMPRODUCT($F$7:$F$26,LN(1-EXP(-N32*$E$7:$E$26)+0.000000000001))-N32*SUMPRODUCT($G$7:$G$26,$E$7:$E$26)</f>
        <v>-9.31531871957968</v>
      </c>
      <c r="P32" s="9" t="n">
        <f aca="false">-0.5*((LN(N32)-LN($B$3))/$B$4)^2-LN(N32)</f>
        <v>-1.20992511729923</v>
      </c>
      <c r="Q32" s="9" t="n">
        <f aca="false">O32+P32</f>
        <v>-10.5252438368789</v>
      </c>
      <c r="R32" s="11" t="n">
        <f aca="false">EXP(Q32-MAX($Q$7:$Q$506))</f>
        <v>0.000814469752316637</v>
      </c>
      <c r="S32" s="11" t="n">
        <f aca="false">SUM($R$7:R32)/SUM($R$7:$R$506)</f>
        <v>2.1419600942194E-005</v>
      </c>
    </row>
    <row r="33" customFormat="false" ht="15" hidden="false" customHeight="false" outlineLevel="0" collapsed="false">
      <c r="A33" s="5" t="s">
        <v>39</v>
      </c>
      <c r="B33" s="14" t="n">
        <f aca="false">INDEX(N$7:N$506,MATCH(0.95,S$7:S$506,1)+1)</f>
        <v>2.67999999999999</v>
      </c>
      <c r="N33" s="12" t="n">
        <f aca="false">N32+0.01</f>
        <v>0.31</v>
      </c>
      <c r="O33" s="9" t="n">
        <f aca="false">SUMPRODUCT($F$7:$F$26,LN(1-EXP(-N33*$E$7:$E$26)+0.000000000001))-N33*SUMPRODUCT($G$7:$G$26,$E$7:$E$26)</f>
        <v>-9.127746705341</v>
      </c>
      <c r="P33" s="9" t="n">
        <f aca="false">-0.5*((LN(N33)-LN($B$3))/$B$4)^2-LN(N33)</f>
        <v>-1.10077207589739</v>
      </c>
      <c r="Q33" s="9" t="n">
        <f aca="false">O33+P33</f>
        <v>-10.2285187812384</v>
      </c>
      <c r="R33" s="11" t="n">
        <f aca="false">EXP(Q33-MAX($Q$7:$Q$506))</f>
        <v>0.00109582452141139</v>
      </c>
      <c r="S33" s="11" t="n">
        <f aca="false">SUM($R$7:R33)/SUM($R$7:$R$506)</f>
        <v>3.0006469575276E-005</v>
      </c>
    </row>
    <row r="34" customFormat="false" ht="15" hidden="false" customHeight="false" outlineLevel="0" collapsed="false">
      <c r="A34" s="5" t="s">
        <v>40</v>
      </c>
      <c r="B34" s="15" t="n">
        <f aca="false">IF(SUM(K7:K26)=0,"",SUM(J7:J26)/SUM(K7:K26))</f>
        <v>0.0354677765426673</v>
      </c>
      <c r="N34" s="12" t="n">
        <f aca="false">N33+0.01</f>
        <v>0.32</v>
      </c>
      <c r="O34" s="9" t="n">
        <f aca="false">SUMPRODUCT($F$7:$F$26,LN(1-EXP(-N34*$E$7:$E$26)+0.000000000001))-N34*SUMPRODUCT($G$7:$G$26,$E$7:$E$26)</f>
        <v>-8.94738612930447</v>
      </c>
      <c r="P34" s="9" t="n">
        <f aca="false">-0.5*((LN(N34)-LN($B$3))/$B$4)^2-LN(N34)</f>
        <v>-0.999182830201238</v>
      </c>
      <c r="Q34" s="9" t="n">
        <f aca="false">O34+P34</f>
        <v>-9.94656895950571</v>
      </c>
      <c r="R34" s="11" t="n">
        <f aca="false">EXP(Q34-MAX($Q$7:$Q$506))</f>
        <v>0.00145274793312387</v>
      </c>
      <c r="S34" s="11" t="n">
        <f aca="false">SUM($R$7:R34)/SUM($R$7:$R$506)</f>
        <v>4.13901860508382E-005</v>
      </c>
    </row>
    <row r="35" customFormat="false" ht="15" hidden="false" customHeight="false" outlineLevel="0" collapsed="false">
      <c r="N35" s="12" t="n">
        <f aca="false">N34+0.01</f>
        <v>0.33</v>
      </c>
      <c r="O35" s="9" t="n">
        <f aca="false">SUMPRODUCT($F$7:$F$26,LN(1-EXP(-N35*$E$7:$E$26)+0.000000000001))-N35*SUMPRODUCT($G$7:$G$26,$E$7:$E$26)</f>
        <v>-8.77378843853732</v>
      </c>
      <c r="P35" s="9" t="n">
        <f aca="false">-0.5*((LN(N35)-LN($B$3))/$B$4)^2-LN(N35)</f>
        <v>-0.904567618779423</v>
      </c>
      <c r="Q35" s="9" t="n">
        <f aca="false">O35+P35</f>
        <v>-9.67835605731674</v>
      </c>
      <c r="R35" s="11" t="n">
        <f aca="false">EXP(Q35-MAX($Q$7:$Q$506))</f>
        <v>0.00189965025217907</v>
      </c>
      <c r="S35" s="11" t="n">
        <f aca="false">SUM($R$7:R35)/SUM($R$7:$R$506)</f>
        <v>5.62758240754857E-005</v>
      </c>
    </row>
    <row r="36" customFormat="false" ht="15" hidden="false" customHeight="false" outlineLevel="0" collapsed="false">
      <c r="A36" s="7" t="s">
        <v>41</v>
      </c>
      <c r="N36" s="12" t="n">
        <f aca="false">N35+0.01</f>
        <v>0.34</v>
      </c>
      <c r="O36" s="9" t="n">
        <f aca="false">SUMPRODUCT($F$7:$F$26,LN(1-EXP(-N36*$E$7:$E$26)+0.000000000001))-N36*SUMPRODUCT($G$7:$G$26,$E$7:$E$26)</f>
        <v>-8.60654526647683</v>
      </c>
      <c r="P36" s="9" t="n">
        <f aca="false">-0.5*((LN(N36)-LN($B$3))/$B$4)^2-LN(N36)</f>
        <v>-0.816396817211105</v>
      </c>
      <c r="Q36" s="9" t="n">
        <f aca="false">O36+P36</f>
        <v>-9.42294208368794</v>
      </c>
      <c r="R36" s="11" t="n">
        <f aca="false">EXP(Q36-MAX($Q$7:$Q$506))</f>
        <v>0.00245244077921388</v>
      </c>
      <c r="S36" s="11" t="n">
        <f aca="false">SUM($R$7:R36)/SUM($R$7:$R$506)</f>
        <v>7.54931224567992E-005</v>
      </c>
    </row>
    <row r="37" customFormat="false" ht="15" hidden="false" customHeight="false" outlineLevel="0" collapsed="false">
      <c r="N37" s="12" t="n">
        <f aca="false">N36+0.01</f>
        <v>0.35</v>
      </c>
      <c r="O37" s="9" t="n">
        <f aca="false">SUMPRODUCT($F$7:$F$26,LN(1-EXP(-N37*$E$7:$E$26)+0.000000000001))-N37*SUMPRODUCT($G$7:$G$26,$E$7:$E$26)</f>
        <v>-8.44528377204834</v>
      </c>
      <c r="P37" s="9" t="n">
        <f aca="false">-0.5*((LN(N37)-LN($B$3))/$B$4)^2-LN(N37)</f>
        <v>-0.73419333664982</v>
      </c>
      <c r="Q37" s="9" t="n">
        <f aca="false">O37+P37</f>
        <v>-9.17947710869816</v>
      </c>
      <c r="R37" s="11" t="n">
        <f aca="false">EXP(Q37-MAX($Q$7:$Q$506))</f>
        <v>0.00312848461904853</v>
      </c>
      <c r="S37" s="11" t="n">
        <f aca="false">SUM($R$7:R37)/SUM($R$7:$R$506)</f>
        <v>0.000100007892768552</v>
      </c>
    </row>
    <row r="38" customFormat="false" ht="15" hidden="false" customHeight="false" outlineLevel="0" collapsed="false">
      <c r="N38" s="12" t="n">
        <f aca="false">N37+0.01</f>
        <v>0.36</v>
      </c>
      <c r="O38" s="9" t="n">
        <f aca="false">SUMPRODUCT($F$7:$F$26,LN(1-EXP(-N38*$E$7:$E$26)+0.000000000001))-N38*SUMPRODUCT($G$7:$G$26,$E$7:$E$26)</f>
        <v>-8.28966263552571</v>
      </c>
      <c r="P38" s="9" t="n">
        <f aca="false">-0.5*((LN(N38)-LN($B$3))/$B$4)^2-LN(N38)</f>
        <v>-0.657526163104967</v>
      </c>
      <c r="Q38" s="9" t="n">
        <f aca="false">O38+P38</f>
        <v>-8.94718879863067</v>
      </c>
      <c r="R38" s="11" t="n">
        <f aca="false">EXP(Q38-MAX($Q$7:$Q$506))</f>
        <v>0.00394653133512624</v>
      </c>
      <c r="S38" s="11" t="n">
        <f aca="false">SUM($R$7:R38)/SUM($R$7:$R$506)</f>
        <v>0.000130932867952921</v>
      </c>
    </row>
    <row r="39" customFormat="false" ht="15" hidden="false" customHeight="false" outlineLevel="0" collapsed="false">
      <c r="N39" s="12" t="n">
        <f aca="false">N38+0.01</f>
        <v>0.37</v>
      </c>
      <c r="O39" s="9" t="n">
        <f aca="false">SUMPRODUCT($F$7:$F$26,LN(1-EXP(-N39*$E$7:$E$26)+0.000000000001))-N39*SUMPRODUCT($G$7:$G$26,$E$7:$E$26)</f>
        <v>-8.13936860312506</v>
      </c>
      <c r="P39" s="9" t="n">
        <f aca="false">-0.5*((LN(N39)-LN($B$3))/$B$4)^2-LN(N39)</f>
        <v>-0.58600484042049</v>
      </c>
      <c r="Q39" s="9" t="n">
        <f aca="false">O39+P39</f>
        <v>-8.72537344354555</v>
      </c>
      <c r="R39" s="11" t="n">
        <f aca="false">EXP(Q39-MAX($Q$7:$Q$506))</f>
        <v>0.00492661630824569</v>
      </c>
      <c r="S39" s="11" t="n">
        <f aca="false">SUM($R$7:R39)/SUM($R$7:$R$506)</f>
        <v>0.00016953777797083</v>
      </c>
    </row>
    <row r="40" customFormat="false" ht="15" hidden="false" customHeight="false" outlineLevel="0" collapsed="false">
      <c r="N40" s="12" t="n">
        <f aca="false">N39+0.01</f>
        <v>0.38</v>
      </c>
      <c r="O40" s="9" t="n">
        <f aca="false">SUMPRODUCT($F$7:$F$26,LN(1-EXP(-N40*$E$7:$E$26)+0.000000000001))-N40*SUMPRODUCT($G$7:$G$26,$E$7:$E$26)</f>
        <v>-7.99411349249459</v>
      </c>
      <c r="P40" s="9" t="n">
        <f aca="false">-0.5*((LN(N40)-LN($B$3))/$B$4)^2-LN(N40)</f>
        <v>-0.51927473821445</v>
      </c>
      <c r="Q40" s="9" t="n">
        <f aca="false">O40+P40</f>
        <v>-8.51338823070904</v>
      </c>
      <c r="R40" s="11" t="n">
        <f aca="false">EXP(Q40-MAX($Q$7:$Q$506))</f>
        <v>0.00608993627648199</v>
      </c>
      <c r="S40" s="11" t="n">
        <f aca="false">SUM($R$7:R40)/SUM($R$7:$R$506)</f>
        <v>0.000217258450184515</v>
      </c>
    </row>
    <row r="41" customFormat="false" ht="15" hidden="false" customHeight="false" outlineLevel="0" collapsed="false">
      <c r="N41" s="12" t="n">
        <f aca="false">N40+0.01</f>
        <v>0.39</v>
      </c>
      <c r="O41" s="9" t="n">
        <f aca="false">SUMPRODUCT($F$7:$F$26,LN(1-EXP(-N41*$E$7:$E$26)+0.000000000001))-N41*SUMPRODUCT($G$7:$G$26,$E$7:$E$26)</f>
        <v>-7.85363158724172</v>
      </c>
      <c r="P41" s="9" t="n">
        <f aca="false">-0.5*((LN(N41)-LN($B$3))/$B$4)^2-LN(N41)</f>
        <v>-0.457012976100431</v>
      </c>
      <c r="Q41" s="9" t="n">
        <f aca="false">O41+P41</f>
        <v>-8.31064456334215</v>
      </c>
      <c r="R41" s="11" t="n">
        <f aca="false">EXP(Q41-MAX($Q$7:$Q$506))</f>
        <v>0.00745870111214093</v>
      </c>
      <c r="S41" s="11" t="n">
        <f aca="false">SUM($R$7:R41)/SUM($R$7:$R$506)</f>
        <v>0.000275704748265969</v>
      </c>
    </row>
    <row r="42" customFormat="false" ht="15" hidden="false" customHeight="false" outlineLevel="0" collapsed="false">
      <c r="N42" s="12" t="n">
        <f aca="false">N41+0.01</f>
        <v>0.4</v>
      </c>
      <c r="O42" s="9" t="n">
        <f aca="false">SUMPRODUCT($F$7:$F$26,LN(1-EXP(-N42*$E$7:$E$26)+0.000000000001))-N42*SUMPRODUCT($G$7:$G$26,$E$7:$E$26)</f>
        <v>-7.7176773613794</v>
      </c>
      <c r="P42" s="9" t="n">
        <f aca="false">-0.5*((LN(N42)-LN($B$3))/$B$4)^2-LN(N42)</f>
        <v>-0.398924899271168</v>
      </c>
      <c r="Q42" s="9" t="n">
        <f aca="false">O42+P42</f>
        <v>-8.11660226065057</v>
      </c>
      <c r="R42" s="11" t="n">
        <f aca="false">EXP(Q42-MAX($Q$7:$Q$506))</f>
        <v>0.00905596437949714</v>
      </c>
      <c r="S42" s="11" t="n">
        <f aca="false">SUM($R$7:R42)/SUM($R$7:$R$506)</f>
        <v>0.000346667183357725</v>
      </c>
    </row>
    <row r="43" customFormat="false" ht="15" hidden="false" customHeight="false" outlineLevel="0" collapsed="false">
      <c r="N43" s="12" t="n">
        <f aca="false">N42+0.01</f>
        <v>0.41</v>
      </c>
      <c r="O43" s="9" t="n">
        <f aca="false">SUMPRODUCT($F$7:$F$26,LN(1-EXP(-N43*$E$7:$E$26)+0.000000000001))-N43*SUMPRODUCT($G$7:$G$26,$E$7:$E$26)</f>
        <v>-7.58602348479577</v>
      </c>
      <c r="P43" s="9" t="n">
        <f aca="false">-0.5*((LN(N43)-LN($B$3))/$B$4)^2-LN(N43)</f>
        <v>-0.344741019427192</v>
      </c>
      <c r="Q43" s="9" t="n">
        <f aca="false">O43+P43</f>
        <v>-7.93076450422296</v>
      </c>
      <c r="R43" s="11" t="n">
        <f aca="false">EXP(Q43-MAX($Q$7:$Q$506))</f>
        <v>0.0109054356074823</v>
      </c>
      <c r="S43" s="11" t="n">
        <f aca="false">SUM($R$7:R43)/SUM($R$7:$R$506)</f>
        <v>0.000432122054204541</v>
      </c>
    </row>
    <row r="44" customFormat="false" ht="15" hidden="false" customHeight="false" outlineLevel="0" collapsed="false">
      <c r="N44" s="12" t="n">
        <f aca="false">N43+0.01</f>
        <v>0.42</v>
      </c>
      <c r="O44" s="9" t="n">
        <f aca="false">SUMPRODUCT($F$7:$F$26,LN(1-EXP(-N44*$E$7:$E$26)+0.000000000001))-N44*SUMPRODUCT($G$7:$G$26,$E$7:$E$26)</f>
        <v>-7.45845906910236</v>
      </c>
      <c r="P44" s="9" t="n">
        <f aca="false">-0.5*((LN(N44)-LN($B$3))/$B$4)^2-LN(N44)</f>
        <v>-0.294214350163369</v>
      </c>
      <c r="Q44" s="9" t="n">
        <f aca="false">O44+P44</f>
        <v>-7.75267341926573</v>
      </c>
      <c r="R44" s="11" t="n">
        <f aca="false">EXP(Q44-MAX($Q$7:$Q$506))</f>
        <v>0.0130312775022143</v>
      </c>
      <c r="S44" s="11" t="n">
        <f aca="false">SUM($R$7:R44)/SUM($R$7:$R$506)</f>
        <v>0.000534234998244732</v>
      </c>
    </row>
    <row r="45" customFormat="false" ht="15" hidden="false" customHeight="false" outlineLevel="0" collapsed="false">
      <c r="N45" s="12" t="n">
        <f aca="false">N44+0.01</f>
        <v>0.43</v>
      </c>
      <c r="O45" s="9" t="n">
        <f aca="false">SUMPRODUCT($F$7:$F$26,LN(1-EXP(-N45*$E$7:$E$26)+0.000000000001))-N45*SUMPRODUCT($G$7:$G$26,$E$7:$E$26)</f>
        <v>-7.33478811991325</v>
      </c>
      <c r="P45" s="9" t="n">
        <f aca="false">-0.5*((LN(N45)-LN($B$3))/$B$4)^2-LN(N45)</f>
        <v>-0.247118078106727</v>
      </c>
      <c r="Q45" s="9" t="n">
        <f aca="false">O45+P45</f>
        <v>-7.58190619801998</v>
      </c>
      <c r="R45" s="11" t="n">
        <f aca="false">EXP(Q45-MAX($Q$7:$Q$506))</f>
        <v>0.0154578915167487</v>
      </c>
      <c r="S45" s="11" t="n">
        <f aca="false">SUM($R$7:R45)/SUM($R$7:$R$506)</f>
        <v>0.000655362862428491</v>
      </c>
    </row>
    <row r="46" customFormat="false" ht="15" hidden="false" customHeight="false" outlineLevel="0" collapsed="false">
      <c r="N46" s="12" t="n">
        <f aca="false">N45+0.01</f>
        <v>0.44</v>
      </c>
      <c r="O46" s="9" t="n">
        <f aca="false">SUMPRODUCT($F$7:$F$26,LN(1-EXP(-N46*$E$7:$E$26)+0.000000000001))-N46*SUMPRODUCT($G$7:$G$26,$E$7:$E$26)</f>
        <v>-7.21482816707253</v>
      </c>
      <c r="P46" s="9" t="n">
        <f aca="false">-0.5*((LN(N46)-LN($B$3))/$B$4)^2-LN(N46)</f>
        <v>-0.203243520958804</v>
      </c>
      <c r="Q46" s="9" t="n">
        <f aca="false">O46+P46</f>
        <v>-7.41807168803133</v>
      </c>
      <c r="R46" s="11" t="n">
        <f aca="false">EXP(Q46-MAX($Q$7:$Q$506))</f>
        <v>0.0182096952941349</v>
      </c>
      <c r="S46" s="11" t="n">
        <f aca="false">SUM($R$7:R46)/SUM($R$7:$R$506)</f>
        <v>0.000798053830082503</v>
      </c>
    </row>
    <row r="47" customFormat="false" ht="15" hidden="false" customHeight="false" outlineLevel="0" collapsed="false">
      <c r="N47" s="12" t="n">
        <f aca="false">N46+0.01</f>
        <v>0.45</v>
      </c>
      <c r="O47" s="9" t="n">
        <f aca="false">SUMPRODUCT($F$7:$F$26,LN(1-EXP(-N47*$E$7:$E$26)+0.000000000001))-N47*SUMPRODUCT($G$7:$G$26,$E$7:$E$26)</f>
        <v>-7.09840904882929</v>
      </c>
      <c r="P47" s="9" t="n">
        <f aca="false">-0.5*((LN(N47)-LN($B$3))/$B$4)^2-LN(N47)</f>
        <v>-0.16239833161863</v>
      </c>
      <c r="Q47" s="9" t="n">
        <f aca="false">O47+P47</f>
        <v>-7.26080738044792</v>
      </c>
      <c r="R47" s="11" t="n">
        <f aca="false">EXP(Q47-MAX($Q$7:$Q$506))</f>
        <v>0.0213108955115949</v>
      </c>
      <c r="S47" s="11" t="n">
        <f aca="false">SUM($R$7:R47)/SUM($R$7:$R$506)</f>
        <v>0.000965045767784089</v>
      </c>
    </row>
    <row r="48" customFormat="false" ht="15" hidden="false" customHeight="false" outlineLevel="0" collapsed="false">
      <c r="N48" s="12" t="n">
        <f aca="false">N47+0.01</f>
        <v>0.46</v>
      </c>
      <c r="O48" s="9" t="n">
        <f aca="false">SUMPRODUCT($F$7:$F$26,LN(1-EXP(-N48*$E$7:$E$26)+0.000000000001))-N48*SUMPRODUCT($G$7:$G$26,$E$7:$E$26)</f>
        <v>-6.98537182965336</v>
      </c>
      <c r="P48" s="9" t="n">
        <f aca="false">-0.5*((LN(N48)-LN($B$3))/$B$4)^2-LN(N48)</f>
        <v>-0.124404914122874</v>
      </c>
      <c r="Q48" s="9" t="n">
        <f aca="false">O48+P48</f>
        <v>-7.10977674377624</v>
      </c>
      <c r="R48" s="11" t="n">
        <f aca="false">EXP(Q48-MAX($Q$7:$Q$506))</f>
        <v>0.0247852595869447</v>
      </c>
      <c r="S48" s="11" t="n">
        <f aca="false">SUM($R$7:R48)/SUM($R$7:$R$506)</f>
        <v>0.00115926278332944</v>
      </c>
    </row>
    <row r="49" customFormat="false" ht="15" hidden="false" customHeight="false" outlineLevel="0" collapsed="false">
      <c r="N49" s="12" t="n">
        <f aca="false">N48+0.01</f>
        <v>0.47</v>
      </c>
      <c r="O49" s="9" t="n">
        <f aca="false">SUMPRODUCT($F$7:$F$26,LN(1-EXP(-N49*$E$7:$E$26)+0.000000000001))-N49*SUMPRODUCT($G$7:$G$26,$E$7:$E$26)</f>
        <v>-6.87556783444274</v>
      </c>
      <c r="P49" s="9" t="n">
        <f aca="false">-0.5*((LN(N49)-LN($B$3))/$B$4)^2-LN(N49)</f>
        <v>-0.089099022529738</v>
      </c>
      <c r="Q49" s="9" t="n">
        <f aca="false">O49+P49</f>
        <v>-6.96466685697248</v>
      </c>
      <c r="R49" s="11" t="n">
        <f aca="false">EXP(Q49-MAX($Q$7:$Q$506))</f>
        <v>0.0286558895729817</v>
      </c>
      <c r="S49" s="11" t="n">
        <f aca="false">SUM($R$7:R49)/SUM($R$7:$R$506)</f>
        <v>0.00138381001194079</v>
      </c>
    </row>
    <row r="50" customFormat="false" ht="15" hidden="false" customHeight="false" outlineLevel="0" collapsed="false">
      <c r="N50" s="12" t="n">
        <f aca="false">N49+0.01</f>
        <v>0.48</v>
      </c>
      <c r="O50" s="9" t="n">
        <f aca="false">SUMPRODUCT($F$7:$F$26,LN(1-EXP(-N50*$E$7:$E$26)+0.000000000001))-N50*SUMPRODUCT($G$7:$G$26,$E$7:$E$26)</f>
        <v>-6.76885778441658</v>
      </c>
      <c r="P50" s="9" t="n">
        <f aca="false">-0.5*((LN(N50)-LN($B$3))/$B$4)^2-LN(N50)</f>
        <v>-0.0563285183213876</v>
      </c>
      <c r="Q50" s="9" t="n">
        <f aca="false">O50+P50</f>
        <v>-6.82518630273796</v>
      </c>
      <c r="R50" s="11" t="n">
        <f aca="false">EXP(Q50-MAX($Q$7:$Q$506))</f>
        <v>0.0329450013718463</v>
      </c>
      <c r="S50" s="11" t="n">
        <f aca="false">SUM($R$7:R50)/SUM($R$7:$R$506)</f>
        <v>0.00164196667239989</v>
      </c>
    </row>
    <row r="51" customFormat="false" ht="15" hidden="false" customHeight="false" outlineLevel="0" collapsed="false">
      <c r="N51" s="12" t="n">
        <f aca="false">N50+0.01</f>
        <v>0.49</v>
      </c>
      <c r="O51" s="9" t="n">
        <f aca="false">SUMPRODUCT($F$7:$F$26,LN(1-EXP(-N51*$E$7:$E$26)+0.000000000001))-N51*SUMPRODUCT($G$7:$G$26,$E$7:$E$26)</f>
        <v>-6.66511102211069</v>
      </c>
      <c r="P51" s="9" t="n">
        <f aca="false">-0.5*((LN(N51)-LN($B$3))/$B$4)^2-LN(N51)</f>
        <v>-0.0259522655865946</v>
      </c>
      <c r="Q51" s="9" t="n">
        <f aca="false">O51+P51</f>
        <v>-6.69106328769729</v>
      </c>
      <c r="R51" s="11" t="n">
        <f aca="false">EXP(Q51-MAX($Q$7:$Q$506))</f>
        <v>0.0376737121599451</v>
      </c>
      <c r="S51" s="11" t="n">
        <f aca="false">SUM($R$7:R51)/SUM($R$7:$R$506)</f>
        <v>0.00193717745744541</v>
      </c>
    </row>
    <row r="52" customFormat="false" ht="15" hidden="false" customHeight="false" outlineLevel="0" collapsed="false">
      <c r="N52" s="12" t="n">
        <f aca="false">N51+0.01</f>
        <v>0.5</v>
      </c>
      <c r="O52" s="9" t="n">
        <f aca="false">SUMPRODUCT($F$7:$F$26,LN(1-EXP(-N52*$E$7:$E$26)+0.000000000001))-N52*SUMPRODUCT($G$7:$G$26,$E$7:$E$26)</f>
        <v>-6.56420481467259</v>
      </c>
      <c r="P52" s="9" t="n">
        <f aca="false">-0.5*((LN(N52)-LN($B$3))/$B$4)^2-LN(N52)</f>
        <v>0.00216085368643393</v>
      </c>
      <c r="Q52" s="9" t="n">
        <f aca="false">O52+P52</f>
        <v>-6.56204396098615</v>
      </c>
      <c r="R52" s="11" t="n">
        <f aca="false">EXP(Q52-MAX($Q$7:$Q$506))</f>
        <v>0.0428618386354012</v>
      </c>
      <c r="S52" s="11" t="n">
        <f aca="false">SUM($R$7:R52)/SUM($R$7:$R$506)</f>
        <v>0.00227304234323981</v>
      </c>
    </row>
    <row r="53" customFormat="false" ht="15" hidden="false" customHeight="false" outlineLevel="0" collapsed="false">
      <c r="N53" s="12" t="n">
        <f aca="false">N52+0.01</f>
        <v>0.51</v>
      </c>
      <c r="O53" s="9" t="n">
        <f aca="false">SUMPRODUCT($F$7:$F$26,LN(1-EXP(-N53*$E$7:$E$26)+0.000000000001))-N53*SUMPRODUCT($G$7:$G$26,$E$7:$E$26)</f>
        <v>-6.46602372615071</v>
      </c>
      <c r="P53" s="9" t="n">
        <f aca="false">-0.5*((LN(N53)-LN($B$3))/$B$4)^2-LN(N53)</f>
        <v>0.0281328193134761</v>
      </c>
      <c r="Q53" s="9" t="n">
        <f aca="false">O53+P53</f>
        <v>-6.43789090683723</v>
      </c>
      <c r="R53" s="11" t="n">
        <f aca="false">EXP(Q53-MAX($Q$7:$Q$506))</f>
        <v>0.0485277083942215</v>
      </c>
      <c r="S53" s="11" t="n">
        <f aca="false">SUM($R$7:R53)/SUM($R$7:$R$506)</f>
        <v>0.00265330492078187</v>
      </c>
    </row>
    <row r="54" customFormat="false" ht="15" hidden="false" customHeight="false" outlineLevel="0" collapsed="false">
      <c r="N54" s="12" t="n">
        <f aca="false">N53+0.01</f>
        <v>0.52</v>
      </c>
      <c r="O54" s="9" t="n">
        <f aca="false">SUMPRODUCT($F$7:$F$26,LN(1-EXP(-N54*$E$7:$E$26)+0.000000000001))-N54*SUMPRODUCT($G$7:$G$26,$E$7:$E$26)</f>
        <v>-6.370459050738</v>
      </c>
      <c r="P54" s="9" t="n">
        <f aca="false">-0.5*((LN(N54)-LN($B$3))/$B$4)^2-LN(N54)</f>
        <v>0.0520772605704483</v>
      </c>
      <c r="Q54" s="9" t="n">
        <f aca="false">O54+P54</f>
        <v>-6.31838179016755</v>
      </c>
      <c r="R54" s="11" t="n">
        <f aca="false">EXP(Q54-MAX($Q$7:$Q$506))</f>
        <v>0.0546879864178825</v>
      </c>
      <c r="S54" s="11" t="n">
        <f aca="false">SUM($R$7:R54)/SUM($R$7:$R$506)</f>
        <v>0.00308183936767789</v>
      </c>
    </row>
    <row r="55" customFormat="false" ht="15" hidden="false" customHeight="false" outlineLevel="0" collapsed="false">
      <c r="N55" s="12" t="n">
        <f aca="false">N54+0.01</f>
        <v>0.53</v>
      </c>
      <c r="O55" s="9" t="n">
        <f aca="false">SUMPRODUCT($F$7:$F$26,LN(1-EXP(-N55*$E$7:$E$26)+0.000000000001))-N55*SUMPRODUCT($G$7:$G$26,$E$7:$E$26)</f>
        <v>-6.27740830000187</v>
      </c>
      <c r="P55" s="9" t="n">
        <f aca="false">-0.5*((LN(N55)-LN($B$3))/$B$4)^2-LN(N55)</f>
        <v>0.0741001629492561</v>
      </c>
      <c r="Q55" s="9" t="n">
        <f aca="false">O55+P55</f>
        <v>-6.20330813705261</v>
      </c>
      <c r="R55" s="11" t="n">
        <f aca="false">EXP(Q55-MAX($Q$7:$Q$506))</f>
        <v>0.0613575183224448</v>
      </c>
      <c r="S55" s="11" t="n">
        <f aca="false">SUM($R$7:R55)/SUM($R$7:$R$506)</f>
        <v>0.00356263619161477</v>
      </c>
    </row>
    <row r="56" customFormat="false" ht="15" hidden="false" customHeight="false" outlineLevel="0" collapsed="false">
      <c r="N56" s="12" t="n">
        <f aca="false">N55+0.01</f>
        <v>0.54</v>
      </c>
      <c r="O56" s="9" t="n">
        <f aca="false">SUMPRODUCT($F$7:$F$26,LN(1-EXP(-N56*$E$7:$E$26)+0.000000000001))-N56*SUMPRODUCT($G$7:$G$26,$E$7:$E$26)</f>
        <v>-6.18677473804479</v>
      </c>
      <c r="P56" s="9" t="n">
        <f aca="false">-0.5*((LN(N56)-LN($B$3))/$B$4)^2-LN(N56)</f>
        <v>0.0943005036319904</v>
      </c>
      <c r="Q56" s="9" t="n">
        <f aca="false">O56+P56</f>
        <v>-6.0924742344128</v>
      </c>
      <c r="R56" s="11" t="n">
        <f aca="false">EXP(Q56-MAX($Q$7:$Q$506))</f>
        <v>0.0685491916853161</v>
      </c>
      <c r="S56" s="11" t="n">
        <f aca="false">SUM($R$7:R56)/SUM($R$7:$R$506)</f>
        <v>0.00409978688719113</v>
      </c>
    </row>
    <row r="57" customFormat="false" ht="15" hidden="false" customHeight="false" outlineLevel="0" collapsed="false">
      <c r="N57" s="12" t="n">
        <f aca="false">N56+0.01</f>
        <v>0.55</v>
      </c>
      <c r="O57" s="9" t="n">
        <f aca="false">SUMPRODUCT($F$7:$F$26,LN(1-EXP(-N57*$E$7:$E$26)+0.000000000001))-N57*SUMPRODUCT($G$7:$G$26,$E$7:$E$26)</f>
        <v>-6.09846695931753</v>
      </c>
      <c r="P57" s="9" t="n">
        <f aca="false">-0.5*((LN(N57)-LN($B$3))/$B$4)^2-LN(N57)</f>
        <v>0.112770824007065</v>
      </c>
      <c r="Q57" s="9" t="n">
        <f aca="false">O57+P57</f>
        <v>-5.98569613531046</v>
      </c>
      <c r="R57" s="11" t="n">
        <f aca="false">EXP(Q57-MAX($Q$7:$Q$506))</f>
        <v>0.0762738164371212</v>
      </c>
      <c r="S57" s="11" t="n">
        <f aca="false">SUM($R$7:R57)/SUM($R$7:$R$506)</f>
        <v>0.00469746765550046</v>
      </c>
    </row>
    <row r="58" customFormat="false" ht="15" hidden="false" customHeight="false" outlineLevel="0" collapsed="false">
      <c r="N58" s="12" t="n">
        <f aca="false">N57+0.01</f>
        <v>0.56</v>
      </c>
      <c r="O58" s="9" t="n">
        <f aca="false">SUMPRODUCT($F$7:$F$26,LN(1-EXP(-N58*$E$7:$E$26)+0.000000000001))-N58*SUMPRODUCT($G$7:$G$26,$E$7:$E$26)</f>
        <v>-6.01239850447317</v>
      </c>
      <c r="P58" s="9" t="n">
        <f aca="false">-0.5*((LN(N58)-LN($B$3))/$B$4)^2-LN(N58)</f>
        <v>0.129597746449984</v>
      </c>
      <c r="Q58" s="9" t="n">
        <f aca="false">O58+P58</f>
        <v>-5.88280075802319</v>
      </c>
      <c r="R58" s="11" t="n">
        <f aca="false">EXP(Q58-MAX($Q$7:$Q$506))</f>
        <v>0.0845400249885412</v>
      </c>
      <c r="S58" s="11" t="n">
        <f aca="false">SUM($R$7:R58)/SUM($R$7:$R$506)</f>
        <v>0.00535992234110933</v>
      </c>
    </row>
    <row r="59" customFormat="false" ht="15" hidden="false" customHeight="false" outlineLevel="0" collapsed="false">
      <c r="N59" s="12" t="n">
        <f aca="false">N58+0.01</f>
        <v>0.57</v>
      </c>
      <c r="O59" s="9" t="n">
        <f aca="false">SUMPRODUCT($F$7:$F$26,LN(1-EXP(-N59*$E$7:$E$26)+0.000000000001))-N59*SUMPRODUCT($G$7:$G$26,$E$7:$E$26)</f>
        <v>-5.92848751022122</v>
      </c>
      <c r="P59" s="9" t="n">
        <f aca="false">-0.5*((LN(N59)-LN($B$3))/$B$4)^2-LN(N59)</f>
        <v>0.144862441652667</v>
      </c>
      <c r="Q59" s="9" t="n">
        <f aca="false">O59+P59</f>
        <v>-5.78362506856855</v>
      </c>
      <c r="R59" s="11" t="n">
        <f aca="false">EXP(Q59-MAX($Q$7:$Q$506))</f>
        <v>0.0933541924601878</v>
      </c>
      <c r="S59" s="11" t="n">
        <f aca="false">SUM($R$7:R59)/SUM($R$7:$R$506)</f>
        <v>0.00609144474395774</v>
      </c>
    </row>
    <row r="60" customFormat="false" ht="15" hidden="false" customHeight="false" outlineLevel="0" collapsed="false">
      <c r="N60" s="12" t="n">
        <f aca="false">N59+0.01</f>
        <v>0.58</v>
      </c>
      <c r="O60" s="9" t="n">
        <f aca="false">SUMPRODUCT($F$7:$F$26,LN(1-EXP(-N60*$E$7:$E$26)+0.000000000001))-N60*SUMPRODUCT($G$7:$G$26,$E$7:$E$26)</f>
        <v>-5.8466563896334</v>
      </c>
      <c r="P60" s="9" t="n">
        <f aca="false">-0.5*((LN(N60)-LN($B$3))/$B$4)^2-LN(N60)</f>
        <v>0.158641051982445</v>
      </c>
      <c r="Q60" s="9" t="n">
        <f aca="false">O60+P60</f>
        <v>-5.68801533765095</v>
      </c>
      <c r="R60" s="11" t="n">
        <f aca="false">EXP(Q60-MAX($Q$7:$Q$506))</f>
        <v>0.102720377101389</v>
      </c>
      <c r="S60" s="11" t="n">
        <f aca="false">SUM($R$7:R60)/SUM($R$7:$R$506)</f>
        <v>0.00689636046438186</v>
      </c>
    </row>
    <row r="61" customFormat="false" ht="15" hidden="false" customHeight="false" outlineLevel="0" collapsed="false">
      <c r="N61" s="12" t="n">
        <f aca="false">N60+0.01</f>
        <v>0.59</v>
      </c>
      <c r="O61" s="9" t="n">
        <f aca="false">SUMPRODUCT($F$7:$F$26,LN(1-EXP(-N61*$E$7:$E$26)+0.000000000001))-N61*SUMPRODUCT($G$7:$G$26,$E$7:$E$26)</f>
        <v>-5.76683153977728</v>
      </c>
      <c r="P61" s="9" t="n">
        <f aca="false">-0.5*((LN(N61)-LN($B$3))/$B$4)^2-LN(N61)</f>
        <v>0.171005075663287</v>
      </c>
      <c r="Q61" s="9" t="n">
        <f aca="false">O61+P61</f>
        <v>-5.595826464114</v>
      </c>
      <c r="R61" s="11" t="n">
        <f aca="false">EXP(Q61-MAX($Q$7:$Q$506))</f>
        <v>0.112640280724069</v>
      </c>
      <c r="S61" s="11" t="n">
        <f aca="false">SUM($R$7:R61)/SUM($R$7:$R$506)</f>
        <v>0.00777900843809694</v>
      </c>
    </row>
    <row r="62" customFormat="false" ht="15" hidden="false" customHeight="false" outlineLevel="0" collapsed="false">
      <c r="N62" s="12" t="n">
        <f aca="false">N61+0.01</f>
        <v>0.6</v>
      </c>
      <c r="O62" s="9" t="n">
        <f aca="false">SUMPRODUCT($F$7:$F$26,LN(1-EXP(-N62*$E$7:$E$26)+0.000000000001))-N62*SUMPRODUCT($G$7:$G$26,$E$7:$E$26)</f>
        <v>-5.68894307392155</v>
      </c>
      <c r="P62" s="9" t="n">
        <f aca="false">-0.5*((LN(N62)-LN($B$3))/$B$4)^2-LN(N62)</f>
        <v>0.18202171597966</v>
      </c>
      <c r="Q62" s="9" t="n">
        <f aca="false">O62+P62</f>
        <v>-5.50692135794189</v>
      </c>
      <c r="R62" s="11" t="n">
        <f aca="false">EXP(Q62-MAX($Q$7:$Q$506))</f>
        <v>0.123113228742782</v>
      </c>
      <c r="S62" s="11" t="n">
        <f aca="false">SUM($R$7:R62)/SUM($R$7:$R$506)</f>
        <v>0.00874372231477424</v>
      </c>
    </row>
    <row r="63" customFormat="false" ht="15" hidden="false" customHeight="false" outlineLevel="0" collapsed="false">
      <c r="N63" s="12" t="n">
        <f aca="false">N62+0.01</f>
        <v>0.61</v>
      </c>
      <c r="O63" s="9" t="n">
        <f aca="false">SUMPRODUCT($F$7:$F$26,LN(1-EXP(-N63*$E$7:$E$26)+0.000000000001))-N63*SUMPRODUCT($G$7:$G$26,$E$7:$E$26)</f>
        <v>-5.61292457587557</v>
      </c>
      <c r="P63" s="9" t="n">
        <f aca="false">-0.5*((LN(N63)-LN($B$3))/$B$4)^2-LN(N63)</f>
        <v>0.191754199192861</v>
      </c>
      <c r="Q63" s="9" t="n">
        <f aca="false">O63+P63</f>
        <v>-5.42117037668271</v>
      </c>
      <c r="R63" s="11" t="n">
        <f aca="false">EXP(Q63-MAX($Q$7:$Q$506))</f>
        <v>0.134136169202749</v>
      </c>
      <c r="S63" s="11" t="n">
        <f aca="false">SUM($R$7:R63)/SUM($R$7:$R$506)</f>
        <v>0.00979481182900172</v>
      </c>
    </row>
    <row r="64" customFormat="false" ht="15" hidden="false" customHeight="false" outlineLevel="0" collapsed="false">
      <c r="N64" s="12" t="n">
        <f aca="false">N63+0.01</f>
        <v>0.62</v>
      </c>
      <c r="O64" s="9" t="n">
        <f aca="false">SUMPRODUCT($F$7:$F$26,LN(1-EXP(-N64*$E$7:$E$26)+0.000000000001))-N64*SUMPRODUCT($G$7:$G$26,$E$7:$E$26)</f>
        <v>-5.53871287430346</v>
      </c>
      <c r="P64" s="9" t="n">
        <f aca="false">-0.5*((LN(N64)-LN($B$3))/$B$4)^2-LN(N64)</f>
        <v>0.200262064418229</v>
      </c>
      <c r="Q64" s="9" t="n">
        <f aca="false">O64+P64</f>
        <v>-5.33845080988523</v>
      </c>
      <c r="R64" s="11" t="n">
        <f aca="false">EXP(Q64-MAX($Q$7:$Q$506))</f>
        <v>0.145703689995075</v>
      </c>
      <c r="S64" s="11" t="n">
        <f aca="false">SUM($R$7:R64)/SUM($R$7:$R$506)</f>
        <v>0.0109365443061428</v>
      </c>
    </row>
    <row r="65" customFormat="false" ht="15" hidden="false" customHeight="false" outlineLevel="0" collapsed="false">
      <c r="N65" s="12" t="n">
        <f aca="false">N64+0.01</f>
        <v>0.63</v>
      </c>
      <c r="O65" s="9" t="n">
        <f aca="false">SUMPRODUCT($F$7:$F$26,LN(1-EXP(-N65*$E$7:$E$26)+0.000000000001))-N65*SUMPRODUCT($G$7:$G$26,$E$7:$E$26)</f>
        <v>-5.46624783509495</v>
      </c>
      <c r="P65" s="9" t="n">
        <f aca="false">-0.5*((LN(N65)-LN($B$3))/$B$4)^2-LN(N65)</f>
        <v>0.207601428329163</v>
      </c>
      <c r="Q65" s="9" t="n">
        <f aca="false">O65+P65</f>
        <v>-5.25864640676579</v>
      </c>
      <c r="R65" s="11" t="n">
        <f aca="false">EXP(Q65-MAX($Q$7:$Q$506))</f>
        <v>0.157808053302315</v>
      </c>
      <c r="S65" s="11" t="n">
        <f aca="false">SUM($R$7:R65)/SUM($R$7:$R$506)</f>
        <v>0.0121731264381105</v>
      </c>
    </row>
    <row r="66" customFormat="false" ht="15" hidden="false" customHeight="false" outlineLevel="0" collapsed="false">
      <c r="N66" s="12" t="n">
        <f aca="false">N65+0.01</f>
        <v>0.64</v>
      </c>
      <c r="O66" s="9" t="n">
        <f aca="false">SUMPRODUCT($F$7:$F$26,LN(1-EXP(-N66*$E$7:$E$26)+0.000000000001))-N66*SUMPRODUCT($G$7:$G$26,$E$7:$E$26)</f>
        <v>-5.39547217008636</v>
      </c>
      <c r="P66" s="9" t="n">
        <f aca="false">-0.5*((LN(N66)-LN($B$3))/$B$4)^2-LN(N66)</f>
        <v>0.213825227221585</v>
      </c>
      <c r="Q66" s="9" t="n">
        <f aca="false">O66+P66</f>
        <v>-5.18164694286477</v>
      </c>
      <c r="R66" s="11" t="n">
        <f aca="false">EXP(Q66-MAX($Q$7:$Q$506))</f>
        <v>0.170439246187775</v>
      </c>
      <c r="S66" s="11" t="n">
        <f aca="false">SUM($R$7:R66)/SUM($R$7:$R$506)</f>
        <v>0.0135086864555583</v>
      </c>
    </row>
    <row r="67" customFormat="false" ht="15" hidden="false" customHeight="false" outlineLevel="0" collapsed="false">
      <c r="N67" s="12" t="n">
        <f aca="false">N66+0.01</f>
        <v>0.65</v>
      </c>
      <c r="O67" s="9" t="n">
        <f aca="false">SUMPRODUCT($F$7:$F$26,LN(1-EXP(-N67*$E$7:$E$26)+0.000000000001))-N67*SUMPRODUCT($G$7:$G$26,$E$7:$E$26)</f>
        <v>-5.32633126061074</v>
      </c>
      <c r="P67" s="9" t="n">
        <f aca="false">-0.5*((LN(N67)-LN($B$3))/$B$4)^2-LN(N67)</f>
        <v>0.218983438683184</v>
      </c>
      <c r="Q67" s="9" t="n">
        <f aca="false">O67+P67</f>
        <v>-5.10734782192756</v>
      </c>
      <c r="R67" s="11" t="n">
        <f aca="false">EXP(Q67-MAX($Q$7:$Q$506))</f>
        <v>0.183585046137537</v>
      </c>
      <c r="S67" s="11" t="n">
        <f aca="false">SUM($R$7:R67)/SUM($R$7:$R$506)</f>
        <v>0.0149472568136581</v>
      </c>
    </row>
    <row r="68" customFormat="false" ht="15" hidden="false" customHeight="false" outlineLevel="0" collapsed="false">
      <c r="N68" s="12" t="n">
        <f aca="false">N67+0.01</f>
        <v>0.66</v>
      </c>
      <c r="O68" s="9" t="n">
        <f aca="false">SUMPRODUCT($F$7:$F$26,LN(1-EXP(-N68*$E$7:$E$26)+0.000000000001))-N68*SUMPRODUCT($G$7:$G$26,$E$7:$E$26)</f>
        <v>-5.2587729945185</v>
      </c>
      <c r="P68" s="9" t="n">
        <f aca="false">-0.5*((LN(N68)-LN($B$3))/$B$4)^2-LN(N68)</f>
        <v>0.223123284859346</v>
      </c>
      <c r="Q68" s="9" t="n">
        <f aca="false">O68+P68</f>
        <v>-5.03564970965915</v>
      </c>
      <c r="R68" s="11" t="n">
        <f aca="false">EXP(Q68-MAX($Q$7:$Q$506))</f>
        <v>0.197231100284091</v>
      </c>
      <c r="S68" s="11" t="n">
        <f aca="false">SUM($R$7:R68)/SUM($R$7:$R$506)</f>
        <v>0.0164927574986733</v>
      </c>
    </row>
    <row r="69" customFormat="false" ht="15" hidden="false" customHeight="false" outlineLevel="0" collapsed="false">
      <c r="N69" s="12" t="n">
        <f aca="false">N68+0.01</f>
        <v>0.67</v>
      </c>
      <c r="O69" s="9" t="n">
        <f aca="false">SUMPRODUCT($F$7:$F$26,LN(1-EXP(-N69*$E$7:$E$26)+0.000000000001))-N69*SUMPRODUCT($G$7:$G$26,$E$7:$E$26)</f>
        <v>-5.19274761545291</v>
      </c>
      <c r="P69" s="9" t="n">
        <f aca="false">-0.5*((LN(N69)-LN($B$3))/$B$4)^2-LN(N69)</f>
        <v>0.226289419086908</v>
      </c>
      <c r="Q69" s="9" t="n">
        <f aca="false">O69+P69</f>
        <v>-4.966458196366</v>
      </c>
      <c r="R69" s="11" t="n">
        <f aca="false">EXP(Q69-MAX($Q$7:$Q$506))</f>
        <v>0.211361016983117</v>
      </c>
      <c r="S69" s="11" t="n">
        <f aca="false">SUM($R$7:R69)/SUM($R$7:$R$506)</f>
        <v>0.0181489800521265</v>
      </c>
    </row>
    <row r="70" customFormat="false" ht="15" hidden="false" customHeight="false" outlineLevel="0" collapsed="false">
      <c r="N70" s="12" t="n">
        <f aca="false">N69+0.01</f>
        <v>0.68</v>
      </c>
      <c r="O70" s="9" t="n">
        <f aca="false">SUMPRODUCT($F$7:$F$26,LN(1-EXP(-N70*$E$7:$E$26)+0.000000000001))-N70*SUMPRODUCT($G$7:$G$26,$E$7:$E$26)</f>
        <v>-5.12820758329114</v>
      </c>
      <c r="P70" s="9" t="n">
        <f aca="false">-0.5*((LN(N70)-LN($B$3))/$B$4)^2-LN(N70)</f>
        <v>0.228524097473419</v>
      </c>
      <c r="Q70" s="9" t="n">
        <f aca="false">O70+P70</f>
        <v>-4.89968348581772</v>
      </c>
      <c r="R70" s="11" t="n">
        <f aca="false">EXP(Q70-MAX($Q$7:$Q$506))</f>
        <v>0.225956468378879</v>
      </c>
      <c r="S70" s="11" t="n">
        <f aca="false">SUM($R$7:R70)/SUM($R$7:$R$506)</f>
        <v>0.019919572398669</v>
      </c>
    </row>
    <row r="71" customFormat="false" ht="15" hidden="false" customHeight="false" outlineLevel="0" collapsed="false">
      <c r="N71" s="12" t="n">
        <f aca="false">N70+0.01</f>
        <v>0.69</v>
      </c>
      <c r="O71" s="9" t="n">
        <f aca="false">SUMPRODUCT($F$7:$F$26,LN(1-EXP(-N71*$E$7:$E$26)+0.000000000001))-N71*SUMPRODUCT($G$7:$G$26,$E$7:$E$26)</f>
        <v>-5.06510744477256</v>
      </c>
      <c r="P71" s="9" t="n">
        <f aca="false">-0.5*((LN(N71)-LN($B$3))/$B$4)^2-LN(N71)</f>
        <v>0.22986733682975</v>
      </c>
      <c r="Q71" s="9" t="n">
        <f aca="false">O71+P71</f>
        <v>-4.83524010794281</v>
      </c>
      <c r="R71" s="11" t="n">
        <f aca="false">EXP(Q71-MAX($Q$7:$Q$506))</f>
        <v>0.240997302576994</v>
      </c>
      <c r="S71" s="11" t="n">
        <f aca="false">SUM($R$7:R71)/SUM($R$7:$R$506)</f>
        <v>0.0218080245529339</v>
      </c>
    </row>
    <row r="72" customFormat="false" ht="15" hidden="false" customHeight="false" outlineLevel="0" collapsed="false">
      <c r="N72" s="12" t="n">
        <f aca="false">N71+0.01</f>
        <v>0.7</v>
      </c>
      <c r="O72" s="9" t="n">
        <f aca="false">SUMPRODUCT($F$7:$F$26,LN(1-EXP(-N72*$E$7:$E$26)+0.000000000001))-N72*SUMPRODUCT($G$7:$G$26,$E$7:$E$26)</f>
        <v>-5.00340371343481</v>
      </c>
      <c r="P72" s="9" t="n">
        <f aca="false">-0.5*((LN(N72)-LN($B$3))/$B$4)^2-LN(N72)</f>
        <v>0.230357060214415</v>
      </c>
      <c r="Q72" s="9" t="n">
        <f aca="false">O72+P72</f>
        <v>-4.77304665322039</v>
      </c>
      <c r="R72" s="11" t="n">
        <f aca="false">EXP(Q72-MAX($Q$7:$Q$506))</f>
        <v>0.256461664044283</v>
      </c>
      <c r="S72" s="11" t="n">
        <f aca="false">SUM($R$7:R72)/SUM($R$7:$R$506)</f>
        <v>0.0238176552698424</v>
      </c>
    </row>
    <row r="73" customFormat="false" ht="15" hidden="false" customHeight="false" outlineLevel="0" collapsed="false">
      <c r="N73" s="12" t="n">
        <f aca="false">N72+0.01</f>
        <v>0.71</v>
      </c>
      <c r="O73" s="9" t="n">
        <f aca="false">SUMPRODUCT($F$7:$F$26,LN(1-EXP(-N73*$E$7:$E$26)+0.000000000001))-N73*SUMPRODUCT($G$7:$G$26,$E$7:$E$26)</f>
        <v>-4.9430547580653</v>
      </c>
      <c r="P73" s="9" t="n">
        <f aca="false">-0.5*((LN(N73)-LN($B$3))/$B$4)^2-LN(N73)</f>
        <v>0.230029231216256</v>
      </c>
      <c r="Q73" s="9" t="n">
        <f aca="false">O73+P73</f>
        <v>-4.71302552684905</v>
      </c>
      <c r="R73" s="11" t="n">
        <f aca="false">EXP(Q73-MAX($Q$7:$Q$506))</f>
        <v>0.272326120872043</v>
      </c>
      <c r="S73" s="11" t="n">
        <f aca="false">SUM($R$7:R73)/SUM($R$7:$R$506)</f>
        <v>0.0259515996921421</v>
      </c>
    </row>
    <row r="74" customFormat="false" ht="15" hidden="false" customHeight="false" outlineLevel="0" collapsed="false">
      <c r="N74" s="12" t="n">
        <f aca="false">N73+0.01</f>
        <v>0.72</v>
      </c>
      <c r="O74" s="9" t="n">
        <f aca="false">SUMPRODUCT($F$7:$F$26,LN(1-EXP(-N74*$E$7:$E$26)+0.000000000001))-N74*SUMPRODUCT($G$7:$G$26,$E$7:$E$26)</f>
        <v>-4.88402069895359</v>
      </c>
      <c r="P74" s="9" t="n">
        <f aca="false">-0.5*((LN(N74)-LN($B$3))/$B$4)^2-LN(N74)</f>
        <v>0.228917977985801</v>
      </c>
      <c r="Q74" s="9" t="n">
        <f aca="false">O74+P74</f>
        <v>-4.65510272096779</v>
      </c>
      <c r="R74" s="11" t="n">
        <f aca="false">EXP(Q74-MAX($Q$7:$Q$506))</f>
        <v>0.28856579756948</v>
      </c>
      <c r="S74" s="11" t="n">
        <f aca="false">SUM($R$7:R74)/SUM($R$7:$R$506)</f>
        <v>0.0282127980385143</v>
      </c>
    </row>
    <row r="75" customFormat="false" ht="15" hidden="false" customHeight="false" outlineLevel="0" collapsed="false">
      <c r="N75" s="12" t="n">
        <f aca="false">N74+0.01</f>
        <v>0.73</v>
      </c>
      <c r="O75" s="9" t="n">
        <f aca="false">SUMPRODUCT($F$7:$F$26,LN(1-EXP(-N75*$E$7:$E$26)+0.000000000001))-N75*SUMPRODUCT($G$7:$G$26,$E$7:$E$26)</f>
        <v>-4.82626331129883</v>
      </c>
      <c r="P75" s="9" t="n">
        <f aca="false">-0.5*((LN(N75)-LN($B$3))/$B$4)^2-LN(N75)</f>
        <v>0.227055707922694</v>
      </c>
      <c r="Q75" s="9" t="n">
        <f aca="false">O75+P75</f>
        <v>-4.59920760337614</v>
      </c>
      <c r="R75" s="11" t="n">
        <f aca="false">EXP(Q75-MAX($Q$7:$Q$506))</f>
        <v>0.305154512096485</v>
      </c>
      <c r="S75" s="11" t="n">
        <f aca="false">SUM($R$7:R75)/SUM($R$7:$R$506)</f>
        <v>0.0306039853654687</v>
      </c>
    </row>
    <row r="76" customFormat="false" ht="15" hidden="false" customHeight="false" outlineLevel="0" collapsed="false">
      <c r="N76" s="12" t="n">
        <f aca="false">N75+0.01</f>
        <v>0.74</v>
      </c>
      <c r="O76" s="9" t="n">
        <f aca="false">SUMPRODUCT($F$7:$F$26,LN(1-EXP(-N76*$E$7:$E$26)+0.000000000001))-N76*SUMPRODUCT($G$7:$G$26,$E$7:$E$26)</f>
        <v>-4.76974593518825</v>
      </c>
      <c r="P76" s="9" t="n">
        <f aca="false">-0.5*((LN(N76)-LN($B$3))/$B$4)^2-LN(N76)</f>
        <v>0.224473213835374</v>
      </c>
      <c r="Q76" s="9" t="n">
        <f aca="false">O76+P76</f>
        <v>-4.54527272135288</v>
      </c>
      <c r="R76" s="11" t="n">
        <f aca="false">EXP(Q76-MAX($Q$7:$Q$506))</f>
        <v>0.322064915897434</v>
      </c>
      <c r="S76" s="11" t="n">
        <f aca="false">SUM($R$7:R76)/SUM($R$7:$R$506)</f>
        <v>0.03312768242654</v>
      </c>
    </row>
    <row r="77" customFormat="false" ht="15" hidden="false" customHeight="false" outlineLevel="0" collapsed="false">
      <c r="N77" s="12" t="n">
        <f aca="false">N76+0.01</f>
        <v>0.75</v>
      </c>
      <c r="O77" s="9" t="n">
        <f aca="false">SUMPRODUCT($F$7:$F$26,LN(1-EXP(-N77*$E$7:$E$26)+0.000000000001))-N77*SUMPRODUCT($G$7:$G$26,$E$7:$E$26)</f>
        <v>-4.71443339161733</v>
      </c>
      <c r="P77" s="9" t="n">
        <f aca="false">-0.5*((LN(N77)-LN($B$3))/$B$4)^2-LN(N77)</f>
        <v>0.221199772308238</v>
      </c>
      <c r="Q77" s="9" t="n">
        <f aca="false">O77+P77</f>
        <v>-4.49323361930909</v>
      </c>
      <c r="R77" s="11" t="n">
        <f aca="false">EXP(Q77-MAX($Q$7:$Q$506))</f>
        <v>0.339268635758655</v>
      </c>
      <c r="S77" s="11" t="n">
        <f aca="false">SUM($R$7:R77)/SUM($R$7:$R$506)</f>
        <v>0.0357861876430799</v>
      </c>
    </row>
    <row r="78" customFormat="false" ht="15" hidden="false" customHeight="false" outlineLevel="0" collapsed="false">
      <c r="N78" s="12" t="n">
        <f aca="false">N77+0.01</f>
        <v>0.760000000000001</v>
      </c>
      <c r="O78" s="9" t="n">
        <f aca="false">SUMPRODUCT($F$7:$F$26,LN(1-EXP(-N78*$E$7:$E$26)+0.000000000001))-N78*SUMPRODUCT($G$7:$G$26,$E$7:$E$26)</f>
        <v>-4.66029190407143</v>
      </c>
      <c r="P78" s="9" t="n">
        <f aca="false">-0.5*((LN(N78)-LN($B$3))/$B$4)^2-LN(N78)</f>
        <v>0.21726323493951</v>
      </c>
      <c r="Q78" s="9" t="n">
        <f aca="false">O78+P78</f>
        <v>-4.44302866913192</v>
      </c>
      <c r="R78" s="11" t="n">
        <f aca="false">EXP(Q78-MAX($Q$7:$Q$506))</f>
        <v>0.356736416379969</v>
      </c>
      <c r="S78" s="11" t="n">
        <f aca="false">SUM($R$7:R78)/SUM($R$7:$R$506)</f>
        <v>0.0385815701922364</v>
      </c>
    </row>
    <row r="79" customFormat="false" ht="15" hidden="false" customHeight="false" outlineLevel="0" collapsed="false">
      <c r="N79" s="12" t="n">
        <f aca="false">N78+0.01</f>
        <v>0.770000000000001</v>
      </c>
      <c r="O79" s="9" t="n">
        <f aca="false">SUMPRODUCT($F$7:$F$26,LN(1-EXP(-N79*$E$7:$E$26)+0.000000000001))-N79*SUMPRODUCT($G$7:$G$26,$E$7:$E$26)</f>
        <v>-4.60728902523285</v>
      </c>
      <c r="P79" s="9" t="n">
        <f aca="false">-0.5*((LN(N79)-LN($B$3))/$B$4)^2-LN(N79)</f>
        <v>0.212690113048922</v>
      </c>
      <c r="Q79" s="9" t="n">
        <f aca="false">O79+P79</f>
        <v>-4.39459891218393</v>
      </c>
      <c r="R79" s="11" t="n">
        <f aca="false">EXP(Q79-MAX($Q$7:$Q$506))</f>
        <v>0.37443826262369</v>
      </c>
      <c r="S79" s="11" t="n">
        <f aca="false">SUM($R$7:R79)/SUM($R$7:$R$506)</f>
        <v>0.041515664209596</v>
      </c>
    </row>
    <row r="80" customFormat="false" ht="15" hidden="false" customHeight="false" outlineLevel="0" collapsed="false">
      <c r="N80" s="12" t="n">
        <f aca="false">N79+0.01</f>
        <v>0.780000000000001</v>
      </c>
      <c r="O80" s="9" t="n">
        <f aca="false">SUMPRODUCT($F$7:$F$26,LN(1-EXP(-N80*$E$7:$E$26)+0.000000000001))-N80*SUMPRODUCT($G$7:$G$26,$E$7:$E$26)</f>
        <v>-4.55539356841615</v>
      </c>
      <c r="P80" s="9" t="n">
        <f aca="false">-0.5*((LN(N80)-LN($B$3))/$B$4)^2-LN(N80)</f>
        <v>0.207505656397155</v>
      </c>
      <c r="Q80" s="9" t="n">
        <f aca="false">O80+P80</f>
        <v>-4.347887912019</v>
      </c>
      <c r="R80" s="11" t="n">
        <f aca="false">EXP(Q80-MAX($Q$7:$Q$506))</f>
        <v>0.392343580481364</v>
      </c>
      <c r="S80" s="11" t="n">
        <f aca="false">SUM($R$7:R80)/SUM($R$7:$R$506)</f>
        <v>0.0445900640964385</v>
      </c>
    </row>
    <row r="81" customFormat="false" ht="15" hidden="false" customHeight="false" outlineLevel="0" collapsed="false">
      <c r="N81" s="12" t="n">
        <f aca="false">N80+0.01</f>
        <v>0.790000000000001</v>
      </c>
      <c r="O81" s="9" t="n">
        <f aca="false">SUMPRODUCT($F$7:$F$26,LN(1-EXP(-N81*$E$7:$E$26)+0.000000000001))-N81*SUMPRODUCT($G$7:$G$26,$E$7:$E$26)</f>
        <v>-4.50457554337058</v>
      </c>
      <c r="P81" s="9" t="n">
        <f aca="false">-0.5*((LN(N81)-LN($B$3))/$B$4)^2-LN(N81)</f>
        <v>0.201733926407851</v>
      </c>
      <c r="Q81" s="9" t="n">
        <f aca="false">O81+P81</f>
        <v>-4.30284161696273</v>
      </c>
      <c r="R81" s="11" t="n">
        <f aca="false">EXP(Q81-MAX($Q$7:$Q$506))</f>
        <v>0.410421315877949</v>
      </c>
      <c r="S81" s="11" t="n">
        <f aca="false">SUM($R$7:R81)/SUM($R$7:$R$506)</f>
        <v>0.0478061209146611</v>
      </c>
    </row>
    <row r="82" customFormat="false" ht="15" hidden="false" customHeight="false" outlineLevel="0" collapsed="false">
      <c r="N82" s="12" t="n">
        <f aca="false">N81+0.01</f>
        <v>0.800000000000001</v>
      </c>
      <c r="O82" s="9" t="n">
        <f aca="false">SUMPRODUCT($F$7:$F$26,LN(1-EXP(-N82*$E$7:$E$26)+0.000000000001))-N82*SUMPRODUCT($G$7:$G$26,$E$7:$E$26)</f>
        <v>-4.45480609611981</v>
      </c>
      <c r="P82" s="9" t="n">
        <f aca="false">-0.5*((LN(N82)-LN($B$3))/$B$4)^2-LN(N82)</f>
        <v>0.195397864337344</v>
      </c>
      <c r="Q82" s="9" t="n">
        <f aca="false">O82+P82</f>
        <v>-4.25940823178247</v>
      </c>
      <c r="R82" s="11" t="n">
        <f aca="false">EXP(Q82-MAX($Q$7:$Q$506))</f>
        <v>0.42864009051398</v>
      </c>
      <c r="S82" s="11" t="n">
        <f aca="false">SUM($R$7:R82)/SUM($R$7:$R$506)</f>
        <v>0.0511649398461587</v>
      </c>
    </row>
    <row r="83" customFormat="false" ht="15" hidden="false" customHeight="false" outlineLevel="0" collapsed="false">
      <c r="N83" s="12" t="n">
        <f aca="false">N82+0.01</f>
        <v>0.810000000000001</v>
      </c>
      <c r="O83" s="9" t="n">
        <f aca="false">SUMPRODUCT($F$7:$F$26,LN(1-EXP(-N83*$E$7:$E$26)+0.000000000001))-N83*SUMPRODUCT($G$7:$G$26,$E$7:$E$26)</f>
        <v>-4.40605745253813</v>
      </c>
      <c r="P83" s="9" t="n">
        <f aca="false">-0.5*((LN(N83)-LN($B$3))/$B$4)^2-LN(N83)</f>
        <v>0.188519354796286</v>
      </c>
      <c r="Q83" s="9" t="n">
        <f aca="false">O83+P83</f>
        <v>-4.21753809774184</v>
      </c>
      <c r="R83" s="11" t="n">
        <f aca="false">EXP(Q83-MAX($Q$7:$Q$506))</f>
        <v>0.44696833402749</v>
      </c>
      <c r="S83" s="11" t="n">
        <f aca="false">SUM($R$7:R83)/SUM($R$7:$R$506)</f>
        <v>0.0546673786878249</v>
      </c>
    </row>
    <row r="84" customFormat="false" ht="15" hidden="false" customHeight="false" outlineLevel="0" collapsed="false">
      <c r="N84" s="12" t="n">
        <f aca="false">N83+0.01</f>
        <v>0.820000000000001</v>
      </c>
      <c r="O84" s="9" t="n">
        <f aca="false">SUMPRODUCT($F$7:$F$26,LN(1-EXP(-N84*$E$7:$E$26)+0.000000000001))-N84*SUMPRODUCT($G$7:$G$26,$E$7:$E$26)</f>
        <v>-4.35830286538789</v>
      </c>
      <c r="P84" s="9" t="n">
        <f aca="false">-0.5*((LN(N84)-LN($B$3))/$B$4)^2-LN(N84)</f>
        <v>0.18111928499062</v>
      </c>
      <c r="Q84" s="9" t="n">
        <f aca="false">O84+P84</f>
        <v>-4.17718358039727</v>
      </c>
      <c r="R84" s="11" t="n">
        <f aca="false">EXP(Q84-MAX($Q$7:$Q$506))</f>
        <v>0.465374411838085</v>
      </c>
      <c r="S84" s="11" t="n">
        <f aca="false">SUM($R$7:R84)/SUM($R$7:$R$506)</f>
        <v>0.0583140473483368</v>
      </c>
    </row>
    <row r="85" customFormat="false" ht="15" hidden="false" customHeight="false" outlineLevel="0" collapsed="false">
      <c r="N85" s="12" t="n">
        <f aca="false">N84+0.01</f>
        <v>0.830000000000001</v>
      </c>
      <c r="O85" s="9" t="n">
        <f aca="false">SUMPRODUCT($F$7:$F$26,LN(1-EXP(-N85*$E$7:$E$26)+0.000000000001))-N85*SUMPRODUCT($G$7:$G$26,$E$7:$E$26)</f>
        <v>-4.3115165645666</v>
      </c>
      <c r="P85" s="9" t="n">
        <f aca="false">-0.5*((LN(N85)-LN($B$3))/$B$4)^2-LN(N85)</f>
        <v>0.173217600016331</v>
      </c>
      <c r="Q85" s="9" t="n">
        <f aca="false">O85+P85</f>
        <v>-4.13829896455027</v>
      </c>
      <c r="R85" s="11" t="n">
        <f aca="false">EXP(Q85-MAX($Q$7:$Q$506))</f>
        <v>0.483826748114926</v>
      </c>
      <c r="S85" s="11" t="n">
        <f aca="false">SUM($R$7:R85)/SUM($R$7:$R$506)</f>
        <v>0.062105308308516</v>
      </c>
    </row>
    <row r="86" customFormat="false" ht="15" hidden="false" customHeight="false" outlineLevel="0" collapsed="false">
      <c r="N86" s="12" t="n">
        <f aca="false">N85+0.01</f>
        <v>0.840000000000001</v>
      </c>
      <c r="O86" s="9" t="n">
        <f aca="false">SUMPRODUCT($F$7:$F$26,LN(1-EXP(-N86*$E$7:$E$26)+0.000000000001))-N86*SUMPRODUCT($G$7:$G$26,$E$7:$E$26)</f>
        <v>-4.26567371033285</v>
      </c>
      <c r="P86" s="9" t="n">
        <f aca="false">-0.5*((LN(N86)-LN($B$3))/$B$4)^2-LN(N86)</f>
        <v>0.164833354512747</v>
      </c>
      <c r="Q86" s="9" t="n">
        <f aca="false">O86+P86</f>
        <v>-4.10084035582011</v>
      </c>
      <c r="R86" s="11" t="n">
        <f aca="false">EXP(Q86-MAX($Q$7:$Q$506))</f>
        <v>0.502293943387572</v>
      </c>
      <c r="S86" s="11" t="n">
        <f aca="false">SUM($R$7:R86)/SUM($R$7:$R$506)</f>
        <v>0.0660412780032867</v>
      </c>
    </row>
    <row r="87" customFormat="false" ht="15" hidden="false" customHeight="false" outlineLevel="0" collapsed="false">
      <c r="N87" s="12" t="n">
        <f aca="false">N86+0.01</f>
        <v>0.850000000000001</v>
      </c>
      <c r="O87" s="9" t="n">
        <f aca="false">SUMPRODUCT($F$7:$F$26,LN(1-EXP(-N87*$E$7:$E$26)+0.000000000001))-N87*SUMPRODUCT($G$7:$G$26,$E$7:$E$26)</f>
        <v>-4.22075034929966</v>
      </c>
      <c r="P87" s="9" t="n">
        <f aca="false">-0.5*((LN(N87)-LN($B$3))/$B$4)^2-LN(N87)</f>
        <v>0.155984760952377</v>
      </c>
      <c r="Q87" s="9" t="n">
        <f aca="false">O87+P87</f>
        <v>-4.06476558834728</v>
      </c>
      <c r="R87" s="11" t="n">
        <f aca="false">EXP(Q87-MAX($Q$7:$Q$506))</f>
        <v>0.520744886393358</v>
      </c>
      <c r="S87" s="11" t="n">
        <f aca="false">SUM($R$7:R87)/SUM($R$7:$R$506)</f>
        <v>0.0701218290800683</v>
      </c>
    </row>
    <row r="88" customFormat="false" ht="15" hidden="false" customHeight="false" outlineLevel="0" collapsed="false">
      <c r="N88" s="12" t="n">
        <f aca="false">N87+0.01</f>
        <v>0.860000000000001</v>
      </c>
      <c r="O88" s="9" t="n">
        <f aca="false">SUMPRODUCT($F$7:$F$26,LN(1-EXP(-N88*$E$7:$E$26)+0.000000000001))-N88*SUMPRODUCT($G$7:$G$26,$E$7:$E$26)</f>
        <v>-4.17672337300091</v>
      </c>
      <c r="P88" s="9" t="n">
        <f aca="false">-0.5*((LN(N88)-LN($B$3))/$B$4)^2-LN(N88)</f>
        <v>0.146689234821193</v>
      </c>
      <c r="Q88" s="9" t="n">
        <f aca="false">O88+P88</f>
        <v>-4.03003413817972</v>
      </c>
      <c r="R88" s="11" t="n">
        <f aca="false">EXP(Q88-MAX($Q$7:$Q$506))</f>
        <v>0.539148859826435</v>
      </c>
      <c r="S88" s="11" t="n">
        <f aca="false">SUM($R$7:R88)/SUM($R$7:$R$506)</f>
        <v>0.074346593485817</v>
      </c>
    </row>
    <row r="89" customFormat="false" ht="15" hidden="false" customHeight="false" outlineLevel="0" collapsed="false">
      <c r="N89" s="12" t="n">
        <f aca="false">N88+0.01</f>
        <v>0.870000000000001</v>
      </c>
      <c r="O89" s="9" t="n">
        <f aca="false">SUMPRODUCT($F$7:$F$26,LN(1-EXP(-N89*$E$7:$E$26)+0.000000000001))-N89*SUMPRODUCT($G$7:$G$26,$E$7:$E$26)</f>
        <v>-4.13357047885252</v>
      </c>
      <c r="P89" s="9" t="n">
        <f aca="false">-0.5*((LN(N89)-LN($B$3))/$B$4)^2-LN(N89)</f>
        <v>0.136963436921469</v>
      </c>
      <c r="Q89" s="9" t="n">
        <f aca="false">O89+P89</f>
        <v>-3.99660704193105</v>
      </c>
      <c r="R89" s="11" t="n">
        <f aca="false">EXP(Q89-MAX($Q$7:$Q$506))</f>
        <v>0.557475639721733</v>
      </c>
      <c r="S89" s="11" t="n">
        <f aca="false">SUM($R$7:R89)/SUM($R$7:$R$506)</f>
        <v>0.0787149663328385</v>
      </c>
    </row>
    <row r="90" customFormat="false" ht="15" hidden="false" customHeight="false" outlineLevel="0" collapsed="false">
      <c r="N90" s="12" t="n">
        <f aca="false">N89+0.01</f>
        <v>0.880000000000001</v>
      </c>
      <c r="O90" s="9" t="n">
        <f aca="false">SUMPRODUCT($F$7:$F$26,LN(1-EXP(-N90*$E$7:$E$26)+0.000000000001))-N90*SUMPRODUCT($G$7:$G$26,$E$7:$E$26)</f>
        <v>-4.09127013334395</v>
      </c>
      <c r="P90" s="9" t="n">
        <f aca="false">-0.5*((LN(N90)-LN($B$3))/$B$4)^2-LN(N90)</f>
        <v>0.12682331300959</v>
      </c>
      <c r="Q90" s="9" t="n">
        <f aca="false">O90+P90</f>
        <v>-3.96444682033436</v>
      </c>
      <c r="R90" s="11" t="n">
        <f aca="false">EXP(Q90-MAX($Q$7:$Q$506))</f>
        <v>0.575695588271284</v>
      </c>
      <c r="S90" s="11" t="n">
        <f aca="false">SUM($R$7:R90)/SUM($R$7:$R$506)</f>
        <v>0.0832261104919082</v>
      </c>
    </row>
    <row r="91" customFormat="false" ht="15" hidden="false" customHeight="false" outlineLevel="0" collapsed="false">
      <c r="N91" s="12" t="n">
        <f aca="false">N90+0.01</f>
        <v>0.890000000000001</v>
      </c>
      <c r="O91" s="9" t="n">
        <f aca="false">SUMPRODUCT($F$7:$F$26,LN(1-EXP(-N91*$E$7:$E$26)+0.000000000001))-N91*SUMPRODUCT($G$7:$G$26,$E$7:$E$26)</f>
        <v>-4.04980153730899</v>
      </c>
      <c r="P91" s="9" t="n">
        <f aca="false">-0.5*((LN(N91)-LN($B$3))/$B$4)^2-LN(N91)</f>
        <v>0.116284130963439</v>
      </c>
      <c r="Q91" s="9" t="n">
        <f aca="false">O91+P91</f>
        <v>-3.93351740634556</v>
      </c>
      <c r="R91" s="11" t="n">
        <f aca="false">EXP(Q91-MAX($Q$7:$Q$506))</f>
        <v>0.593779739930629</v>
      </c>
      <c r="S91" s="11" t="n">
        <f aca="false">SUM($R$7:R91)/SUM($R$7:$R$506)</f>
        <v>0.0878789618601207</v>
      </c>
    </row>
    <row r="92" customFormat="false" ht="15" hidden="false" customHeight="false" outlineLevel="0" collapsed="false">
      <c r="N92" s="12" t="n">
        <f aca="false">N91+0.01</f>
        <v>0.900000000000001</v>
      </c>
      <c r="O92" s="9" t="n">
        <f aca="false">SUMPRODUCT($F$7:$F$26,LN(1-EXP(-N92*$E$7:$E$26)+0.000000000001))-N92*SUMPRODUCT($G$7:$G$26,$E$7:$E$26)</f>
        <v>-4.00914459313631</v>
      </c>
      <c r="P92" s="9" t="n">
        <f aca="false">-0.5*((LN(N92)-LN($B$3))/$B$4)^2-LN(N92)</f>
        <v>0.105360515657826</v>
      </c>
      <c r="Q92" s="9" t="n">
        <f aca="false">O92+P92</f>
        <v>-3.90378407747849</v>
      </c>
      <c r="R92" s="11" t="n">
        <f aca="false">EXP(Q92-MAX($Q$7:$Q$506))</f>
        <v>0.611699880729057</v>
      </c>
      <c r="S92" s="11" t="n">
        <f aca="false">SUM($R$7:R92)/SUM($R$7:$R$506)</f>
        <v>0.0926722352502134</v>
      </c>
    </row>
    <row r="93" customFormat="false" ht="15" hidden="false" customHeight="false" outlineLevel="0" collapsed="false">
      <c r="N93" s="12" t="n">
        <f aca="false">N92+0.01</f>
        <v>0.910000000000001</v>
      </c>
      <c r="O93" s="9" t="n">
        <f aca="false">SUMPRODUCT($F$7:$F$26,LN(1-EXP(-N93*$E$7:$E$26)+0.000000000001))-N93*SUMPRODUCT($G$7:$G$26,$E$7:$E$26)</f>
        <v>-3.96927987379119</v>
      </c>
      <c r="P93" s="9" t="n">
        <f aca="false">-0.5*((LN(N93)-LN($B$3))/$B$4)^2-LN(N93)</f>
        <v>0.0940664817117399</v>
      </c>
      <c r="Q93" s="9" t="n">
        <f aca="false">O93+P93</f>
        <v>-3.87521339207945</v>
      </c>
      <c r="R93" s="11" t="n">
        <f aca="false">EXP(Q93-MAX($Q$7:$Q$506))</f>
        <v>0.629428620749222</v>
      </c>
      <c r="S93" s="11" t="n">
        <f aca="false">SUM($R$7:R93)/SUM($R$7:$R$506)</f>
        <v>0.0976044308478391</v>
      </c>
    </row>
    <row r="94" customFormat="false" ht="15" hidden="false" customHeight="false" outlineLevel="0" collapsed="false">
      <c r="N94" s="12" t="n">
        <f aca="false">N93+0.01</f>
        <v>0.920000000000001</v>
      </c>
      <c r="O94" s="9" t="n">
        <f aca="false">SUMPRODUCT($F$7:$F$26,LN(1-EXP(-N94*$E$7:$E$26)+0.000000000001))-N94*SUMPRODUCT($G$7:$G$26,$E$7:$E$26)</f>
        <v>-3.93018859352968</v>
      </c>
      <c r="P94" s="9" t="n">
        <f aca="false">-0.5*((LN(N94)-LN($B$3))/$B$4)^2-LN(N94)</f>
        <v>0.0824154642579451</v>
      </c>
      <c r="Q94" s="9" t="n">
        <f aca="false">O94+P94</f>
        <v>-3.84777312927174</v>
      </c>
      <c r="R94" s="11" t="n">
        <f aca="false">EXP(Q94-MAX($Q$7:$Q$506))</f>
        <v>0.646939459789201</v>
      </c>
      <c r="S94" s="11" t="n">
        <f aca="false">SUM($R$7:R94)/SUM($R$7:$R$506)</f>
        <v>0.102673841183366</v>
      </c>
    </row>
    <row r="95" customFormat="false" ht="15" hidden="false" customHeight="false" outlineLevel="0" collapsed="false">
      <c r="N95" s="12" t="n">
        <f aca="false">N94+0.01</f>
        <v>0.930000000000001</v>
      </c>
      <c r="O95" s="9" t="n">
        <f aca="false">SUMPRODUCT($F$7:$F$26,LN(1-EXP(-N95*$E$7:$E$26)+0.000000000001))-N95*SUMPRODUCT($G$7:$G$26,$E$7:$E$26)</f>
        <v>-3.89185258019537</v>
      </c>
      <c r="P95" s="9" t="n">
        <f aca="false">-0.5*((LN(N95)-LN($B$3))/$B$4)^2-LN(N95)</f>
        <v>0.0704203478733084</v>
      </c>
      <c r="Q95" s="9" t="n">
        <f aca="false">O95+P95</f>
        <v>-3.82143223232207</v>
      </c>
      <c r="R95" s="11" t="n">
        <f aca="false">EXP(Q95-MAX($Q$7:$Q$506))</f>
        <v>0.664206846263191</v>
      </c>
      <c r="S95" s="11" t="n">
        <f aca="false">SUM($R$7:R95)/SUM($R$7:$R$506)</f>
        <v>0.107878558565224</v>
      </c>
    </row>
    <row r="96" customFormat="false" ht="15" hidden="false" customHeight="false" outlineLevel="0" collapsed="false">
      <c r="N96" s="12" t="n">
        <f aca="false">N95+0.01</f>
        <v>0.940000000000001</v>
      </c>
      <c r="O96" s="9" t="n">
        <f aca="false">SUMPRODUCT($F$7:$F$26,LN(1-EXP(-N96*$E$7:$E$26)+0.000000000001))-N96*SUMPRODUCT($G$7:$G$26,$E$7:$E$26)</f>
        <v>-3.85425424899723</v>
      </c>
      <c r="P96" s="9" t="n">
        <f aca="false">-0.5*((LN(N96)-LN($B$3))/$B$4)^2-LN(N96)</f>
        <v>0.0580934937972635</v>
      </c>
      <c r="Q96" s="9" t="n">
        <f aca="false">O96+P96</f>
        <v>-3.79616075519997</v>
      </c>
      <c r="R96" s="11" t="n">
        <f aca="false">EXP(Q96-MAX($Q$7:$Q$506))</f>
        <v>0.681206229436096</v>
      </c>
      <c r="S96" s="11" t="n">
        <f aca="false">SUM($R$7:R96)/SUM($R$7:$R$506)</f>
        <v>0.113216482922557</v>
      </c>
    </row>
    <row r="97" customFormat="false" ht="15" hidden="false" customHeight="false" outlineLevel="0" collapsed="false">
      <c r="N97" s="12" t="n">
        <f aca="false">N96+0.01</f>
        <v>0.950000000000001</v>
      </c>
      <c r="O97" s="9" t="n">
        <f aca="false">SUMPRODUCT($F$7:$F$26,LN(1-EXP(-N97*$E$7:$E$26)+0.000000000001))-N97*SUMPRODUCT($G$7:$G$26,$E$7:$E$26)</f>
        <v>-3.81737657767445</v>
      </c>
      <c r="P97" s="9" t="n">
        <f aca="false">-0.5*((LN(N97)-LN($B$3))/$B$4)^2-LN(N97)</f>
        <v>0.0454467655557718</v>
      </c>
      <c r="Q97" s="9" t="n">
        <f aca="false">O97+P97</f>
        <v>-3.77192981211867</v>
      </c>
      <c r="R97" s="11" t="n">
        <f aca="false">EXP(Q97-MAX($Q$7:$Q$506))</f>
        <v>0.697914105121998</v>
      </c>
      <c r="S97" s="11" t="n">
        <f aca="false">SUM($R$7:R97)/SUM($R$7:$R$506)</f>
        <v>0.118685330005974</v>
      </c>
    </row>
    <row r="98" customFormat="false" ht="15" hidden="false" customHeight="false" outlineLevel="0" collapsed="false">
      <c r="N98" s="12" t="n">
        <f aca="false">N97+0.01</f>
        <v>0.960000000000001</v>
      </c>
      <c r="O98" s="9" t="n">
        <f aca="false">SUMPRODUCT($F$7:$F$26,LN(1-EXP(-N98*$E$7:$E$26)+0.000000000001))-N98*SUMPRODUCT($G$7:$G$26,$E$7:$E$26)</f>
        <v>-3.78120308296113</v>
      </c>
      <c r="P98" s="9" t="n">
        <f aca="false">-0.5*((LN(N98)-LN($B$3))/$B$4)^2-LN(N98)</f>
        <v>0.0324915530990049</v>
      </c>
      <c r="Q98" s="9" t="n">
        <f aca="false">O98+P98</f>
        <v>-3.74871152986212</v>
      </c>
      <c r="R98" s="11" t="n">
        <f aca="false">EXP(Q98-MAX($Q$7:$Q$506))</f>
        <v>0.714308055007368</v>
      </c>
      <c r="S98" s="11" t="n">
        <f aca="false">SUM($R$7:R98)/SUM($R$7:$R$506)</f>
        <v>0.12428263989643</v>
      </c>
    </row>
    <row r="99" customFormat="false" ht="15" hidden="false" customHeight="false" outlineLevel="0" collapsed="false">
      <c r="N99" s="12" t="n">
        <f aca="false">N98+0.01</f>
        <v>0.970000000000001</v>
      </c>
      <c r="O99" s="9" t="n">
        <f aca="false">SUMPRODUCT($F$7:$F$26,LN(1-EXP(-N99*$E$7:$E$26)+0.000000000001))-N99*SUMPRODUCT($G$7:$G$26,$E$7:$E$26)</f>
        <v>-3.74571779827007</v>
      </c>
      <c r="P99" s="9" t="n">
        <f aca="false">-0.5*((LN(N99)-LN($B$3))/$B$4)^2-LN(N99)</f>
        <v>0.019238795552619</v>
      </c>
      <c r="Q99" s="9" t="n">
        <f aca="false">O99+P99</f>
        <v>-3.72647900271745</v>
      </c>
      <c r="R99" s="11" t="n">
        <f aca="false">EXP(Q99-MAX($Q$7:$Q$506))</f>
        <v>0.730366779786792</v>
      </c>
      <c r="S99" s="11" t="n">
        <f aca="false">SUM($R$7:R99)/SUM($R$7:$R$506)</f>
        <v>0.130005785773763</v>
      </c>
    </row>
    <row r="100" customFormat="false" ht="15" hidden="false" customHeight="false" outlineLevel="0" collapsed="false">
      <c r="N100" s="12" t="n">
        <f aca="false">N99+0.01</f>
        <v>0.980000000000001</v>
      </c>
      <c r="O100" s="9" t="n">
        <f aca="false">SUMPRODUCT($F$7:$F$26,LN(1-EXP(-N100*$E$7:$E$26)+0.000000000001))-N100*SUMPRODUCT($G$7:$G$26,$E$7:$E$26)</f>
        <v>-3.71090525252051</v>
      </c>
      <c r="P100" s="9" t="n">
        <f aca="false">-0.5*((LN(N100)-LN($B$3))/$B$4)^2-LN(N100)</f>
        <v>0.0056990026748697</v>
      </c>
      <c r="Q100" s="9" t="n">
        <f aca="false">O100+P100</f>
        <v>-3.70520624984564</v>
      </c>
      <c r="R100" s="11" t="n">
        <f aca="false">EXP(Q100-MAX($Q$7:$Q$506))</f>
        <v>0.746070126322193</v>
      </c>
      <c r="S100" s="11" t="n">
        <f aca="false">SUM($R$7:R100)/SUM($R$7:$R$506)</f>
        <v>0.135851982898048</v>
      </c>
    </row>
    <row r="101" customFormat="false" ht="15" hidden="false" customHeight="false" outlineLevel="0" collapsed="false">
      <c r="N101" s="12" t="n">
        <f aca="false">N100+0.01</f>
        <v>0.990000000000001</v>
      </c>
      <c r="O101" s="9" t="n">
        <f aca="false">SUMPRODUCT($F$7:$F$26,LN(1-EXP(-N101*$E$7:$E$26)+0.000000000001))-N101*SUMPRODUCT($G$7:$G$26,$E$7:$E$26)</f>
        <v>-3.67675045004022</v>
      </c>
      <c r="P101" s="9" t="n">
        <f aca="false">-0.5*((LN(N101)-LN($B$3))/$B$4)^2-LN(N101)</f>
        <v>-0.00811772489516494</v>
      </c>
      <c r="Q101" s="9" t="n">
        <f aca="false">O101+P101</f>
        <v>-3.68486817493538</v>
      </c>
      <c r="R101" s="11" t="n">
        <f aca="false">EXP(Q101-MAX($Q$7:$Q$506))</f>
        <v>0.76139910905628</v>
      </c>
      <c r="S101" s="11" t="n">
        <f aca="false">SUM($R$7:R101)/SUM($R$7:$R$506)</f>
        <v>0.141818297758744</v>
      </c>
    </row>
    <row r="102" customFormat="false" ht="15" hidden="false" customHeight="false" outlineLevel="0" collapsed="false">
      <c r="N102" s="12" t="n">
        <f aca="false">N101+0.01</f>
        <v>1</v>
      </c>
      <c r="O102" s="9" t="n">
        <f aca="false">SUMPRODUCT($F$7:$F$26,LN(1-EXP(-N102*$E$7:$E$26)+0.000000000001))-N102*SUMPRODUCT($G$7:$G$26,$E$7:$E$26)</f>
        <v>-3.64323885147713</v>
      </c>
      <c r="P102" s="9" t="n">
        <f aca="false">-0.5*((LN(N102)-LN($B$3))/$B$4)^2-LN(N102)</f>
        <v>-0.0222016765193671</v>
      </c>
      <c r="Q102" s="9" t="n">
        <f aca="false">O102+P102</f>
        <v>-3.66544052799649</v>
      </c>
      <c r="R102" s="11" t="n">
        <f aca="false">EXP(Q102-MAX($Q$7:$Q$506))</f>
        <v>0.776335925927301</v>
      </c>
      <c r="S102" s="11" t="n">
        <f aca="false">SUM($R$7:R102)/SUM($R$7:$R$506)</f>
        <v>0.147901657348556</v>
      </c>
    </row>
    <row r="103" customFormat="false" ht="15" hidden="false" customHeight="false" outlineLevel="0" collapsed="false">
      <c r="N103" s="12" t="n">
        <f aca="false">N102+0.01</f>
        <v>1.01</v>
      </c>
      <c r="O103" s="9" t="n">
        <f aca="false">SUMPRODUCT($F$7:$F$26,LN(1-EXP(-N103*$E$7:$E$26)+0.000000000001))-N103*SUMPRODUCT($G$7:$G$26,$E$7:$E$26)</f>
        <v>-3.61035635566022</v>
      </c>
      <c r="P103" s="9" t="n">
        <f aca="false">-0.5*((LN(N103)-LN($B$3))/$B$4)^2-LN(N103)</f>
        <v>-0.0365435134993333</v>
      </c>
      <c r="Q103" s="9" t="n">
        <f aca="false">O103+P103</f>
        <v>-3.64689986915955</v>
      </c>
      <c r="R103" s="11" t="n">
        <f aca="false">EXP(Q103-MAX($Q$7:$Q$506))</f>
        <v>0.790863969045474</v>
      </c>
      <c r="S103" s="11" t="n">
        <f aca="false">SUM($R$7:R103)/SUM($R$7:$R$506)</f>
        <v>0.154098858520953</v>
      </c>
    </row>
    <row r="104" customFormat="false" ht="15" hidden="false" customHeight="false" outlineLevel="0" collapsed="false">
      <c r="N104" s="12" t="n">
        <f aca="false">N103+0.01</f>
        <v>1.02</v>
      </c>
      <c r="O104" s="9" t="n">
        <f aca="false">SUMPRODUCT($F$7:$F$26,LN(1-EXP(-N104*$E$7:$E$26)+0.000000000001))-N104*SUMPRODUCT($G$7:$G$26,$E$7:$E$26)</f>
        <v>-3.57808928235357</v>
      </c>
      <c r="P104" s="9" t="n">
        <f aca="false">-0.5*((LN(N104)-LN($B$3))/$B$4)^2-LN(N104)</f>
        <v>-0.0511342520044306</v>
      </c>
      <c r="Q104" s="9" t="n">
        <f aca="false">O104+P104</f>
        <v>-3.629223534358</v>
      </c>
      <c r="R104" s="11" t="n">
        <f aca="false">EXP(Q104-MAX($Q$7:$Q$506))</f>
        <v>0.804967830401786</v>
      </c>
      <c r="S104" s="11" t="n">
        <f aca="false">SUM($R$7:R104)/SUM($R$7:$R$506)</f>
        <v>0.160406577392414</v>
      </c>
    </row>
    <row r="105" customFormat="false" ht="15" hidden="false" customHeight="false" outlineLevel="0" collapsed="false">
      <c r="N105" s="12" t="n">
        <f aca="false">N104+0.01</f>
        <v>1.03</v>
      </c>
      <c r="O105" s="9" t="n">
        <f aca="false">SUMPRODUCT($F$7:$F$26,LN(1-EXP(-N105*$E$7:$E$26)+0.000000000001))-N105*SUMPRODUCT($G$7:$G$26,$E$7:$E$26)</f>
        <v>-3.54642435585125</v>
      </c>
      <c r="P105" s="9" t="n">
        <f aca="false">-0.5*((LN(N105)-LN($B$3))/$B$4)^2-LN(N105)</f>
        <v>-0.0659652469264083</v>
      </c>
      <c r="Q105" s="9" t="n">
        <f aca="false">O105+P105</f>
        <v>-3.61238960277765</v>
      </c>
      <c r="R105" s="11" t="n">
        <f aca="false">EXP(Q105-MAX($Q$7:$Q$506))</f>
        <v>0.818633302887534</v>
      </c>
      <c r="S105" s="11" t="n">
        <f aca="false">SUM($R$7:R105)/SUM($R$7:$R$506)</f>
        <v>0.166821378752679</v>
      </c>
    </row>
    <row r="106" customFormat="false" ht="15" hidden="false" customHeight="false" outlineLevel="0" collapsed="false">
      <c r="N106" s="12" t="n">
        <f aca="false">N105+0.01</f>
        <v>1.04</v>
      </c>
      <c r="O106" s="9" t="n">
        <f aca="false">SUMPRODUCT($F$7:$F$26,LN(1-EXP(-N106*$E$7:$E$26)+0.000000000001))-N106*SUMPRODUCT($G$7:$G$26,$E$7:$E$26)</f>
        <v>-3.51534868936431</v>
      </c>
      <c r="P106" s="9" t="n">
        <f aca="false">-0.5*((LN(N106)-LN($B$3))/$B$4)^2-LN(N106)</f>
        <v>-0.081028176602342</v>
      </c>
      <c r="Q106" s="9" t="n">
        <f aca="false">O106+P106</f>
        <v>-3.59637686596665</v>
      </c>
      <c r="R106" s="11" t="n">
        <f aca="false">EXP(Q106-MAX($Q$7:$Q$506))</f>
        <v>0.831847376908108</v>
      </c>
      <c r="S106" s="11" t="n">
        <f aca="false">SUM($R$7:R106)/SUM($R$7:$R$506)</f>
        <v>0.173339725448447</v>
      </c>
    </row>
    <row r="107" customFormat="false" ht="15" hidden="false" customHeight="false" outlineLevel="0" collapsed="false">
      <c r="N107" s="12" t="n">
        <f aca="false">N106+0.01</f>
        <v>1.05</v>
      </c>
      <c r="O107" s="9" t="n">
        <f aca="false">SUMPRODUCT($F$7:$F$26,LN(1-EXP(-N107*$E$7:$E$26)+0.000000000001))-N107*SUMPRODUCT($G$7:$G$26,$E$7:$E$26)</f>
        <v>-3.48484977015447</v>
      </c>
      <c r="P107" s="9" t="n">
        <f aca="false">-0.5*((LN(N107)-LN($B$3))/$B$4)^2-LN(N107)</f>
        <v>-0.0963150283518449</v>
      </c>
      <c r="Q107" s="9" t="n">
        <f aca="false">O107+P107</f>
        <v>-3.58116479850631</v>
      </c>
      <c r="R107" s="11" t="n">
        <f aca="false">EXP(Q107-MAX($Q$7:$Q$506))</f>
        <v>0.84459823287744</v>
      </c>
      <c r="S107" s="11" t="n">
        <f aca="false">SUM($R$7:R107)/SUM($R$7:$R$506)</f>
        <v>0.179957987708276</v>
      </c>
    </row>
    <row r="108" customFormat="false" ht="15" hidden="false" customHeight="false" outlineLevel="0" collapsed="false">
      <c r="N108" s="12" t="n">
        <f aca="false">N107+0.01</f>
        <v>1.06</v>
      </c>
      <c r="O108" s="9" t="n">
        <f aca="false">SUMPRODUCT($F$7:$F$26,LN(1-EXP(-N108*$E$7:$E$26)+0.000000000001))-N108*SUMPRODUCT($G$7:$G$26,$E$7:$E$26)</f>
        <v>-3.45491544537187</v>
      </c>
      <c r="P108" s="9" t="n">
        <f aca="false">-0.5*((LN(N108)-LN($B$3))/$B$4)^2-LN(N108)</f>
        <v>-0.111818084778306</v>
      </c>
      <c r="Q108" s="9" t="n">
        <f aca="false">O108+P108</f>
        <v>-3.56673353015018</v>
      </c>
      <c r="R108" s="11" t="n">
        <f aca="false">EXP(Q108-MAX($Q$7:$Q$506))</f>
        <v>0.856875229880307</v>
      </c>
      <c r="S108" s="11" t="n">
        <f aca="false">SUM($R$7:R108)/SUM($R$7:$R$506)</f>
        <v>0.186672452378629</v>
      </c>
    </row>
    <row r="109" customFormat="false" ht="15" hidden="false" customHeight="false" outlineLevel="0" collapsed="false">
      <c r="N109" s="12" t="n">
        <f aca="false">N108+0.01</f>
        <v>1.07</v>
      </c>
      <c r="O109" s="9" t="n">
        <f aca="false">SUMPRODUCT($F$7:$F$26,LN(1-EXP(-N109*$E$7:$E$26)+0.000000000001))-N109*SUMPRODUCT($G$7:$G$26,$E$7:$E$26)</f>
        <v>-3.42553390855742</v>
      </c>
      <c r="P109" s="9" t="n">
        <f aca="false">-0.5*((LN(N109)-LN($B$3))/$B$4)^2-LN(N109)</f>
        <v>-0.127529910787439</v>
      </c>
      <c r="Q109" s="9" t="n">
        <f aca="false">O109+P109</f>
        <v>-3.55306381934486</v>
      </c>
      <c r="R109" s="11" t="n">
        <f aca="false">EXP(Q109-MAX($Q$7:$Q$506))</f>
        <v>0.868668890788625</v>
      </c>
      <c r="S109" s="11" t="n">
        <f aca="false">SUM($R$7:R109)/SUM($R$7:$R$506)</f>
        <v>0.193479332043304</v>
      </c>
    </row>
    <row r="110" customFormat="false" ht="15" hidden="false" customHeight="false" outlineLevel="0" collapsed="false">
      <c r="N110" s="12" t="n">
        <f aca="false">N109+0.01</f>
        <v>1.08</v>
      </c>
      <c r="O110" s="9" t="n">
        <f aca="false">SUMPRODUCT($F$7:$F$26,LN(1-EXP(-N110*$E$7:$E$26)+0.000000000001))-N110*SUMPRODUCT($G$7:$G$26,$E$7:$E$26)</f>
        <v>-3.39669368677248</v>
      </c>
      <c r="P110" s="9" t="n">
        <f aca="false">-0.5*((LN(N110)-LN($B$3))/$B$4)^2-LN(N110)</f>
        <v>-0.143443341279672</v>
      </c>
      <c r="Q110" s="9" t="n">
        <f aca="false">O110+P110</f>
        <v>-3.54013702805215</v>
      </c>
      <c r="R110" s="11" t="n">
        <f aca="false">EXP(Q110-MAX($Q$7:$Q$506))</f>
        <v>0.879970884115144</v>
      </c>
      <c r="S110" s="11" t="n">
        <f aca="false">SUM($R$7:R110)/SUM($R$7:$R$506)</f>
        <v>0.200374774000655</v>
      </c>
    </row>
    <row r="111" customFormat="false" ht="15" hidden="false" customHeight="false" outlineLevel="0" collapsed="false">
      <c r="N111" s="12" t="n">
        <f aca="false">N110+0.01</f>
        <v>1.09</v>
      </c>
      <c r="O111" s="9" t="n">
        <f aca="false">SUMPRODUCT($F$7:$F$26,LN(1-EXP(-N111*$E$7:$E$26)+0.000000000001))-N111*SUMPRODUCT($G$7:$G$26,$E$7:$E$26)</f>
        <v>-3.36838362832126</v>
      </c>
      <c r="P111" s="9" t="n">
        <f aca="false">-0.5*((LN(N111)-LN($B$3))/$B$4)^2-LN(N111)</f>
        <v>-0.159551469475893</v>
      </c>
      <c r="Q111" s="9" t="n">
        <f aca="false">O111+P111</f>
        <v>-3.52793509779715</v>
      </c>
      <c r="R111" s="11" t="n">
        <f aca="false">EXP(Q111-MAX($Q$7:$Q$506))</f>
        <v>0.890774002883665</v>
      </c>
      <c r="S111" s="11" t="n">
        <f aca="false">SUM($R$7:R111)/SUM($R$7:$R$506)</f>
        <v>0.207354869075252</v>
      </c>
    </row>
    <row r="112" customFormat="false" ht="15" hidden="false" customHeight="false" outlineLevel="0" collapsed="false">
      <c r="N112" s="12" t="n">
        <f aca="false">N111+0.01</f>
        <v>1.1</v>
      </c>
      <c r="O112" s="9" t="n">
        <f aca="false">SUMPRODUCT($F$7:$F$26,LN(1-EXP(-N112*$E$7:$E$26)+0.000000000001))-N112*SUMPRODUCT($G$7:$G$26,$E$7:$E$26)</f>
        <v>-3.3405928910335</v>
      </c>
      <c r="P112" s="9" t="n">
        <f aca="false">-0.5*((LN(N112)-LN($B$3))/$B$4)^2-LN(N112)</f>
        <v>-0.175847635838853</v>
      </c>
      <c r="Q112" s="9" t="n">
        <f aca="false">O112+P112</f>
        <v>-3.51644052687236</v>
      </c>
      <c r="R112" s="11" t="n">
        <f aca="false">EXP(Q112-MAX($Q$7:$Q$506))</f>
        <v>0.901072140789372</v>
      </c>
      <c r="S112" s="11" t="n">
        <f aca="false">SUM($R$7:R112)/SUM($R$7:$R$506)</f>
        <v>0.214415660242731</v>
      </c>
    </row>
    <row r="113" customFormat="false" ht="15" hidden="false" customHeight="false" outlineLevel="0" collapsed="false">
      <c r="N113" s="12" t="n">
        <f aca="false">N112+0.01</f>
        <v>1.11</v>
      </c>
      <c r="O113" s="9" t="n">
        <f aca="false">SUMPRODUCT($F$7:$F$26,LN(1-EXP(-N113*$E$7:$E$26)+0.000000000001))-N113*SUMPRODUCT($G$7:$G$26,$E$7:$E$26)</f>
        <v>-3.3133109310769</v>
      </c>
      <c r="P113" s="9" t="n">
        <f aca="false">-0.5*((LN(N113)-LN($B$3))/$B$4)^2-LN(N113)</f>
        <v>-0.192325417555046</v>
      </c>
      <c r="Q113" s="9" t="n">
        <f aca="false">O113+P113</f>
        <v>-3.50563634863195</v>
      </c>
      <c r="R113" s="11" t="n">
        <f aca="false">EXP(Q113-MAX($Q$7:$Q$506))</f>
        <v>0.910860265916164</v>
      </c>
      <c r="S113" s="11" t="n">
        <f aca="false">SUM($R$7:R113)/SUM($R$7:$R$506)</f>
        <v>0.221553151048688</v>
      </c>
    </row>
    <row r="114" customFormat="false" ht="15" hidden="false" customHeight="false" outlineLevel="0" collapsed="false">
      <c r="N114" s="12" t="n">
        <f aca="false">N113+0.01</f>
        <v>1.12</v>
      </c>
      <c r="O114" s="9" t="n">
        <f aca="false">SUMPRODUCT($F$7:$F$26,LN(1-EXP(-N114*$E$7:$E$26)+0.000000000001))-N114*SUMPRODUCT($G$7:$G$26,$E$7:$E$26)</f>
        <v>-3.28652749227085</v>
      </c>
      <c r="P114" s="9" t="n">
        <f aca="false">-0.5*((LN(N114)-LN($B$3))/$B$4)^2-LN(N114)</f>
        <v>-0.208978618544276</v>
      </c>
      <c r="Q114" s="9" t="n">
        <f aca="false">O114+P114</f>
        <v>-3.49550611081512</v>
      </c>
      <c r="R114" s="11" t="n">
        <f aca="false">EXP(Q114-MAX($Q$7:$Q$506))</f>
        <v>0.920134392270113</v>
      </c>
      <c r="S114" s="11" t="n">
        <f aca="false">SUM($R$7:R114)/SUM($R$7:$R$506)</f>
        <v>0.228763313804516</v>
      </c>
    </row>
    <row r="115" customFormat="false" ht="15" hidden="false" customHeight="false" outlineLevel="0" collapsed="false">
      <c r="N115" s="12" t="n">
        <f aca="false">N114+0.01</f>
        <v>1.13</v>
      </c>
      <c r="O115" s="9" t="n">
        <f aca="false">SUMPRODUCT($F$7:$F$26,LN(1-EXP(-N115*$E$7:$E$26)+0.000000000001))-N115*SUMPRODUCT($G$7:$G$26,$E$7:$E$26)</f>
        <v>-3.26023259587477</v>
      </c>
      <c r="P115" s="9" t="n">
        <f aca="false">-0.5*((LN(N115)-LN($B$3))/$B$4)^2-LN(N115)</f>
        <v>-0.225801259966278</v>
      </c>
      <c r="Q115" s="9" t="n">
        <f aca="false">O115+P115</f>
        <v>-3.48603385584104</v>
      </c>
      <c r="R115" s="11" t="n">
        <f aca="false">EXP(Q115-MAX($Q$7:$Q$506))</f>
        <v>0.928891549379727</v>
      </c>
      <c r="S115" s="11" t="n">
        <f aca="false">SUM($R$7:R115)/SUM($R$7:$R$506)</f>
        <v>0.236042097545028</v>
      </c>
    </row>
    <row r="116" customFormat="false" ht="15" hidden="false" customHeight="false" outlineLevel="0" collapsed="false">
      <c r="N116" s="12" t="n">
        <f aca="false">N115+0.01</f>
        <v>1.14</v>
      </c>
      <c r="O116" s="9" t="n">
        <f aca="false">SUMPRODUCT($F$7:$F$26,LN(1-EXP(-N116*$E$7:$E$26)+0.000000000001))-N116*SUMPRODUCT($G$7:$G$26,$E$7:$E$26)</f>
        <v>-3.23441653082588</v>
      </c>
      <c r="P116" s="9" t="n">
        <f aca="false">-0.5*((LN(N116)-LN($B$3))/$B$4)^2-LN(N116)</f>
        <v>-0.242787571195805</v>
      </c>
      <c r="Q116" s="9" t="n">
        <f aca="false">O116+P116</f>
        <v>-3.47720410202168</v>
      </c>
      <c r="R116" s="11" t="n">
        <f aca="false">EXP(Q116-MAX($Q$7:$Q$506))</f>
        <v>0.937129750204333</v>
      </c>
      <c r="S116" s="11" t="n">
        <f aca="false">SUM($R$7:R116)/SUM($R$7:$R$506)</f>
        <v>0.243385435734608</v>
      </c>
    </row>
    <row r="117" customFormat="false" ht="15" hidden="false" customHeight="false" outlineLevel="0" collapsed="false">
      <c r="N117" s="12" t="n">
        <f aca="false">N116+0.01</f>
        <v>1.15</v>
      </c>
      <c r="O117" s="9" t="n">
        <f aca="false">SUMPRODUCT($F$7:$F$26,LN(1-EXP(-N117*$E$7:$E$26)+0.000000000001))-N117*SUMPRODUCT($G$7:$G$26,$E$7:$E$26)</f>
        <v>-3.20906984440292</v>
      </c>
      <c r="P117" s="9" t="n">
        <f aca="false">-0.5*((LN(N117)-LN($B$3))/$B$4)^2-LN(N117)</f>
        <v>-0.259931981239425</v>
      </c>
      <c r="Q117" s="9" t="n">
        <f aca="false">O117+P117</f>
        <v>-3.46900182564234</v>
      </c>
      <c r="R117" s="11" t="n">
        <f aca="false">EXP(Q117-MAX($Q$7:$Q$506))</f>
        <v>0.944847957582187</v>
      </c>
      <c r="S117" s="11" t="n">
        <f aca="false">SUM($R$7:R117)/SUM($R$7:$R$506)</f>
        <v>0.250789253710449</v>
      </c>
    </row>
    <row r="118" customFormat="false" ht="15" hidden="false" customHeight="false" outlineLevel="0" collapsed="false">
      <c r="N118" s="12" t="n">
        <f aca="false">N117+0.01</f>
        <v>1.16</v>
      </c>
      <c r="O118" s="9" t="n">
        <f aca="false">SUMPRODUCT($F$7:$F$26,LN(1-EXP(-N118*$E$7:$E$26)+0.000000000001))-N118*SUMPRODUCT($G$7:$G$26,$E$7:$E$26)</f>
        <v>-3.18418333329364</v>
      </c>
      <c r="P118" s="9" t="n">
        <f aca="false">-0.5*((LN(N118)-LN($B$3))/$B$4)^2-LN(N118)</f>
        <v>-0.277229110569051</v>
      </c>
      <c r="Q118" s="9" t="n">
        <f aca="false">O118+P118</f>
        <v>-3.46141244386269</v>
      </c>
      <c r="R118" s="11" t="n">
        <f aca="false">EXP(Q118-MAX($Q$7:$Q$506))</f>
        <v>0.952046049439558</v>
      </c>
      <c r="S118" s="11" t="n">
        <f aca="false">SUM($R$7:R118)/SUM($R$7:$R$506)</f>
        <v>0.258249475853182</v>
      </c>
    </row>
    <row r="119" customFormat="false" ht="15" hidden="false" customHeight="false" outlineLevel="0" collapsed="false">
      <c r="N119" s="12" t="n">
        <f aca="false">N118+0.01</f>
        <v>1.17</v>
      </c>
      <c r="O119" s="9" t="n">
        <f aca="false">SUMPRODUCT($F$7:$F$26,LN(1-EXP(-N119*$E$7:$E$26)+0.000000000001))-N119*SUMPRODUCT($G$7:$G$26,$E$7:$E$26)</f>
        <v>-3.15974803504533</v>
      </c>
      <c r="P119" s="9" t="n">
        <f aca="false">-0.5*((LN(N119)-LN($B$3))/$B$4)^2-LN(N119)</f>
        <v>-0.294673763348801</v>
      </c>
      <c r="Q119" s="9" t="n">
        <f aca="false">O119+P119</f>
        <v>-3.45442179839413</v>
      </c>
      <c r="R119" s="11" t="n">
        <f aca="false">EXP(Q119-MAX($Q$7:$Q$506))</f>
        <v>0.958724782971457</v>
      </c>
      <c r="S119" s="11" t="n">
        <f aca="false">SUM($R$7:R119)/SUM($R$7:$R$506)</f>
        <v>0.265762032476803</v>
      </c>
    </row>
    <row r="120" customFormat="false" ht="15" hidden="false" customHeight="false" outlineLevel="0" collapsed="false">
      <c r="N120" s="12" t="n">
        <f aca="false">N119+0.01</f>
        <v>1.18</v>
      </c>
      <c r="O120" s="9" t="n">
        <f aca="false">SUMPRODUCT($F$7:$F$26,LN(1-EXP(-N120*$E$7:$E$26)+0.000000000001))-N120*SUMPRODUCT($G$7:$G$26,$E$7:$E$26)</f>
        <v>-3.13575521987871</v>
      </c>
      <c r="P120" s="9" t="n">
        <f aca="false">-0.5*((LN(N120)-LN($B$3))/$B$4)^2-LN(N120)</f>
        <v>-0.312260920033285</v>
      </c>
      <c r="Q120" s="9" t="n">
        <f aca="false">O120+P120</f>
        <v>-3.44801613991199</v>
      </c>
      <c r="R120" s="11" t="n">
        <f aca="false">EXP(Q120-MAX($Q$7:$Q$506))</f>
        <v>0.964885757993839</v>
      </c>
      <c r="S120" s="11" t="n">
        <f aca="false">SUM($R$7:R120)/SUM($R$7:$R$506)</f>
        <v>0.273322866431452</v>
      </c>
    </row>
    <row r="121" customFormat="false" ht="15" hidden="false" customHeight="false" outlineLevel="0" collapsed="false">
      <c r="N121" s="12" t="n">
        <f aca="false">N120+0.01</f>
        <v>1.19</v>
      </c>
      <c r="O121" s="9" t="n">
        <f aca="false">SUMPRODUCT($F$7:$F$26,LN(1-EXP(-N121*$E$7:$E$26)+0.000000000001))-N121*SUMPRODUCT($G$7:$G$26,$E$7:$E$26)</f>
        <v>-3.11219638284697</v>
      </c>
      <c r="P121" s="9" t="n">
        <f aca="false">-0.5*((LN(N121)-LN($B$3))/$B$4)^2-LN(N121)</f>
        <v>-0.329985730316807</v>
      </c>
      <c r="Q121" s="9" t="n">
        <f aca="false">O121+P121</f>
        <v>-3.44218211316378</v>
      </c>
      <c r="R121" s="11" t="n">
        <f aca="false">EXP(Q121-MAX($Q$7:$Q$506))</f>
        <v>0.970531379656041</v>
      </c>
      <c r="S121" s="11" t="n">
        <f aca="false">SUM($R$7:R121)/SUM($R$7:$R$506)</f>
        <v>0.280927939413992</v>
      </c>
    </row>
    <row r="122" customFormat="false" ht="15" hidden="false" customHeight="false" outlineLevel="0" collapsed="false">
      <c r="N122" s="12" t="n">
        <f aca="false">N121+0.01</f>
        <v>1.2</v>
      </c>
      <c r="O122" s="9" t="n">
        <f aca="false">SUMPRODUCT($F$7:$F$26,LN(1-EXP(-N122*$E$7:$E$26)+0.000000000001))-N122*SUMPRODUCT($G$7:$G$26,$E$7:$E$26)</f>
        <v>-3.08906323632248</v>
      </c>
      <c r="P122" s="9" t="n">
        <f aca="false">-0.5*((LN(N122)-LN($B$3))/$B$4)^2-LN(N122)</f>
        <v>-0.34784350641426</v>
      </c>
      <c r="Q122" s="9" t="n">
        <f aca="false">O122+P122</f>
        <v>-3.43690674273674</v>
      </c>
      <c r="R122" s="11" t="n">
        <f aca="false">EXP(Q122-MAX($Q$7:$Q$506))</f>
        <v>0.975664820691207</v>
      </c>
      <c r="S122" s="11" t="n">
        <f aca="false">SUM($R$7:R122)/SUM($R$7:$R$506)</f>
        <v>0.288573237982785</v>
      </c>
    </row>
    <row r="123" customFormat="false" ht="15" hidden="false" customHeight="false" outlineLevel="0" collapsed="false">
      <c r="N123" s="12" t="n">
        <f aca="false">N122+0.01</f>
        <v>1.21</v>
      </c>
      <c r="O123" s="9" t="n">
        <f aca="false">SUMPRODUCT($F$7:$F$26,LN(1-EXP(-N123*$E$7:$E$26)+0.000000000001))-N123*SUMPRODUCT($G$7:$G$26,$E$7:$E$26)</f>
        <v>-3.06634770279483</v>
      </c>
      <c r="P123" s="9" t="n">
        <f aca="false">-0.5*((LN(N123)-LN($B$3))/$B$4)^2-LN(N123)</f>
        <v>-0.36582971665567</v>
      </c>
      <c r="Q123" s="9" t="n">
        <f aca="false">O123+P123</f>
        <v>-3.4321774194505</v>
      </c>
      <c r="R123" s="11" t="n">
        <f aca="false">EXP(Q123-MAX($Q$7:$Q$506))</f>
        <v>0.980289983371326</v>
      </c>
      <c r="S123" s="11" t="n">
        <f aca="false">SUM($R$7:R123)/SUM($R$7:$R$506)</f>
        <v>0.296254779274354</v>
      </c>
    </row>
    <row r="124" customFormat="false" ht="15" hidden="false" customHeight="false" outlineLevel="0" collapsed="false">
      <c r="N124" s="12" t="n">
        <f aca="false">N123+0.01</f>
        <v>1.22</v>
      </c>
      <c r="O124" s="9" t="n">
        <f aca="false">SUMPRODUCT($F$7:$F$26,LN(1-EXP(-N124*$E$7:$E$26)+0.000000000001))-N124*SUMPRODUCT($G$7:$G$26,$E$7:$E$26)</f>
        <v>-3.04404190796503</v>
      </c>
      <c r="P124" s="9" t="n">
        <f aca="false">-0.5*((LN(N124)-LN($B$3))/$B$4)^2-LN(N124)</f>
        <v>-0.383939979377481</v>
      </c>
      <c r="Q124" s="9" t="n">
        <f aca="false">O124+P124</f>
        <v>-3.42798188734251</v>
      </c>
      <c r="R124" s="11" t="n">
        <f aca="false">EXP(Q124-MAX($Q$7:$Q$506))</f>
        <v>0.984411461322557</v>
      </c>
      <c r="S124" s="11" t="n">
        <f aca="false">SUM($R$7:R124)/SUM($R$7:$R$506)</f>
        <v>0.303968616420825</v>
      </c>
    </row>
    <row r="125" customFormat="false" ht="15" hidden="false" customHeight="false" outlineLevel="0" collapsed="false">
      <c r="N125" s="12" t="n">
        <f aca="false">N124+0.01</f>
        <v>1.23</v>
      </c>
      <c r="O125" s="9" t="n">
        <f aca="false">SUMPRODUCT($F$7:$F$26,LN(1-EXP(-N125*$E$7:$E$26)+0.000000000001))-N125*SUMPRODUCT($G$7:$G$26,$E$7:$E$26)</f>
        <v>-3.0221381741211</v>
      </c>
      <c r="P125" s="9" t="n">
        <f aca="false">-0.5*((LN(N125)-LN($B$3))/$B$4)^2-LN(N125)</f>
        <v>-0.402170057094696</v>
      </c>
      <c r="Q125" s="9" t="n">
        <f aca="false">O125+P125</f>
        <v>-3.42430823121579</v>
      </c>
      <c r="R125" s="11" t="n">
        <f aca="false">EXP(Q125-MAX($Q$7:$Q$506))</f>
        <v>0.988034501345606</v>
      </c>
      <c r="S125" s="11" t="n">
        <f aca="false">SUM($R$7:R125)/SUM($R$7:$R$506)</f>
        <v>0.311710843668195</v>
      </c>
    </row>
    <row r="126" customFormat="false" ht="15" hidden="false" customHeight="false" outlineLevel="0" collapsed="false">
      <c r="N126" s="12" t="n">
        <f aca="false">N125+0.01</f>
        <v>1.24</v>
      </c>
      <c r="O126" s="9" t="n">
        <f aca="false">SUMPRODUCT($F$7:$F$26,LN(1-EXP(-N126*$E$7:$E$26)+0.000000000001))-N126*SUMPRODUCT($G$7:$G$26,$E$7:$E$26)</f>
        <v>-3.00062901378162</v>
      </c>
      <c r="P126" s="9" t="n">
        <f aca="false">-0.5*((LN(N126)-LN($B$3))/$B$4)^2-LN(N126)</f>
        <v>-0.420515850938956</v>
      </c>
      <c r="Q126" s="9" t="n">
        <f aca="false">O126+P126</f>
        <v>-3.42114486472057</v>
      </c>
      <c r="R126" s="11" t="n">
        <f aca="false">EXP(Q126-MAX($Q$7:$Q$506))</f>
        <v>0.991164965375279</v>
      </c>
      <c r="S126" s="11" t="n">
        <f aca="false">SUM($R$7:R126)/SUM($R$7:$R$506)</f>
        <v>0.319477601196516</v>
      </c>
    </row>
    <row r="127" customFormat="false" ht="15" hidden="false" customHeight="false" outlineLevel="0" collapsed="false">
      <c r="N127" s="12" t="n">
        <f aca="false">N126+0.01</f>
        <v>1.25</v>
      </c>
      <c r="O127" s="9" t="n">
        <f aca="false">SUMPRODUCT($F$7:$F$26,LN(1-EXP(-N127*$E$7:$E$26)+0.000000000001))-N127*SUMPRODUCT($G$7:$G$26,$E$7:$E$26)</f>
        <v>-2.97950712359414</v>
      </c>
      <c r="P127" s="9" t="n">
        <f aca="false">-0.5*((LN(N127)-LN($B$3))/$B$4)^2-LN(N127)</f>
        <v>-0.438973395348547</v>
      </c>
      <c r="Q127" s="9" t="n">
        <f aca="false">O127+P127</f>
        <v>-3.41848051894269</v>
      </c>
      <c r="R127" s="11" t="n">
        <f aca="false">EXP(Q127-MAX($Q$7:$Q$506))</f>
        <v>0.993809292702855</v>
      </c>
      <c r="S127" s="11" t="n">
        <f aca="false">SUM($R$7:R127)/SUM($R$7:$R$506)</f>
        <v>0.327265079644055</v>
      </c>
    </row>
    <row r="128" customFormat="false" ht="15" hidden="false" customHeight="false" outlineLevel="0" collapsed="false">
      <c r="N128" s="12" t="n">
        <f aca="false">N127+0.01</f>
        <v>1.26</v>
      </c>
      <c r="O128" s="9" t="n">
        <f aca="false">SUMPRODUCT($F$7:$F$26,LN(1-EXP(-N128*$E$7:$E$26)+0.000000000001))-N128*SUMPRODUCT($G$7:$G$26,$E$7:$E$26)</f>
        <v>-2.9587653784764</v>
      </c>
      <c r="P128" s="9" t="n">
        <f aca="false">-0.5*((LN(N128)-LN($B$3))/$B$4)^2-LN(N128)</f>
        <v>-0.457538852997151</v>
      </c>
      <c r="Q128" s="9" t="n">
        <f aca="false">O128+P128</f>
        <v>-3.41630423147355</v>
      </c>
      <c r="R128" s="11" t="n">
        <f aca="false">EXP(Q128-MAX($Q$7:$Q$506))</f>
        <v>0.995974462574745</v>
      </c>
      <c r="S128" s="11" t="n">
        <f aca="false">SUM($R$7:R128)/SUM($R$7:$R$506)</f>
        <v>0.335069524338374</v>
      </c>
    </row>
    <row r="129" customFormat="false" ht="15" hidden="false" customHeight="false" outlineLevel="0" collapsed="false">
      <c r="N129" s="12" t="n">
        <f aca="false">N128+0.01</f>
        <v>1.27</v>
      </c>
      <c r="O129" s="9" t="n">
        <f aca="false">SUMPRODUCT($F$7:$F$26,LN(1-EXP(-N129*$E$7:$E$26)+0.000000000001))-N129*SUMPRODUCT($G$7:$G$26,$E$7:$E$26)</f>
        <v>-2.93839682598874</v>
      </c>
      <c r="P129" s="9" t="n">
        <f aca="false">-0.5*((LN(N129)-LN($B$3))/$B$4)^2-LN(N129)</f>
        <v>-0.476208509948946</v>
      </c>
      <c r="Q129" s="9" t="n">
        <f aca="false">O129+P129</f>
        <v>-3.41460533593768</v>
      </c>
      <c r="R129" s="11" t="n">
        <f aca="false">EXP(Q129-MAX($Q$7:$Q$506))</f>
        <v>0.997667957271026</v>
      </c>
      <c r="S129" s="11" t="n">
        <f aca="false">SUM($R$7:R129)/SUM($R$7:$R$506)</f>
        <v>0.342887239238098</v>
      </c>
    </row>
    <row r="130" customFormat="false" ht="15" hidden="false" customHeight="false" outlineLevel="0" collapsed="false">
      <c r="N130" s="12" t="n">
        <f aca="false">N129+0.01</f>
        <v>1.28</v>
      </c>
      <c r="O130" s="9" t="n">
        <f aca="false">SUMPRODUCT($F$7:$F$26,LN(1-EXP(-N130*$E$7:$E$26)+0.000000000001))-N130*SUMPRODUCT($G$7:$G$26,$E$7:$E$26)</f>
        <v>-2.91839468092688</v>
      </c>
      <c r="P130" s="9" t="n">
        <f aca="false">-0.5*((LN(N130)-LN($B$3))/$B$4)^2-LN(N130)</f>
        <v>-0.494978771028399</v>
      </c>
      <c r="Q130" s="9" t="n">
        <f aca="false">O130+P130</f>
        <v>-3.41337345195528</v>
      </c>
      <c r="R130" s="11" t="n">
        <f aca="false">EXP(Q130-MAX($Q$7:$Q$506))</f>
        <v>0.998897725757873</v>
      </c>
      <c r="S130" s="11" t="n">
        <f aca="false">SUM($R$7:R130)/SUM($R$7:$R$506)</f>
        <v>0.350714590589864</v>
      </c>
    </row>
    <row r="131" customFormat="false" ht="15" hidden="false" customHeight="false" outlineLevel="0" collapsed="false">
      <c r="N131" s="12" t="n">
        <f aca="false">N130+0.01</f>
        <v>1.29</v>
      </c>
      <c r="O131" s="9" t="n">
        <f aca="false">SUMPRODUCT($F$7:$F$26,LN(1-EXP(-N131*$E$7:$E$26)+0.000000000001))-N131*SUMPRODUCT($G$7:$G$26,$E$7:$E$26)</f>
        <v>-2.89875232012487</v>
      </c>
      <c r="P131" s="9" t="n">
        <f aca="false">-0.5*((LN(N131)-LN($B$3))/$B$4)^2-LN(N131)</f>
        <v>-0.513846155393759</v>
      </c>
      <c r="Q131" s="9" t="n">
        <f aca="false">O131+P131</f>
        <v>-3.41259847551863</v>
      </c>
      <c r="R131" s="11" t="n">
        <f aca="false">EXP(Q131-MAX($Q$7:$Q$506))</f>
        <v>0.9996721479987</v>
      </c>
      <c r="S131" s="11" t="n">
        <f aca="false">SUM($R$7:R131)/SUM($R$7:$R$506)</f>
        <v>0.358548010305604</v>
      </c>
    </row>
    <row r="132" customFormat="false" ht="15" hidden="false" customHeight="false" outlineLevel="0" collapsed="false">
      <c r="N132" s="12" t="n">
        <f aca="false">N131+0.01</f>
        <v>1.3</v>
      </c>
      <c r="O132" s="9" t="n">
        <f aca="false">SUMPRODUCT($F$7:$F$26,LN(1-EXP(-N132*$E$7:$E$26)+0.000000000001))-N132*SUMPRODUCT($G$7:$G$26,$E$7:$E$26)</f>
        <v>-2.87946327745819</v>
      </c>
      <c r="P132" s="9" t="n">
        <f aca="false">-0.5*((LN(N132)-LN($B$3))/$B$4)^2-LN(N132)</f>
        <v>-0.532807292303919</v>
      </c>
      <c r="Q132" s="9" t="n">
        <f aca="false">O132+P132</f>
        <v>-3.41227056976211</v>
      </c>
      <c r="R132" s="11" t="n">
        <f aca="false">EXP(Q132-MAX($Q$7:$Q$506))</f>
        <v>1</v>
      </c>
      <c r="S132" s="11" t="n">
        <f aca="false">SUM($R$7:R132)/SUM($R$7:$R$506)</f>
        <v>0.366383999065942</v>
      </c>
    </row>
    <row r="133" customFormat="false" ht="15" hidden="false" customHeight="false" outlineLevel="0" collapsed="false">
      <c r="N133" s="12" t="n">
        <f aca="false">N132+0.01</f>
        <v>1.31</v>
      </c>
      <c r="O133" s="9" t="n">
        <f aca="false">SUMPRODUCT($F$7:$F$26,LN(1-EXP(-N133*$E$7:$E$26)+0.000000000001))-N133*SUMPRODUCT($G$7:$G$26,$E$7:$E$26)</f>
        <v>-2.86052123903818</v>
      </c>
      <c r="P133" s="9" t="n">
        <f aca="false">-0.5*((LN(N133)-LN($B$3))/$B$4)^2-LN(N133)</f>
        <v>-0.551858917068888</v>
      </c>
      <c r="Q133" s="9" t="n">
        <f aca="false">O133+P133</f>
        <v>-3.41238015610706</v>
      </c>
      <c r="R133" s="11" t="n">
        <f aca="false">EXP(Q133-MAX($Q$7:$Q$506))</f>
        <v>0.99989041965941</v>
      </c>
      <c r="S133" s="11" t="n">
        <f aca="false">SUM($R$7:R133)/SUM($R$7:$R$506)</f>
        <v>0.374219129155962</v>
      </c>
    </row>
    <row r="134" customFormat="false" ht="15" hidden="false" customHeight="false" outlineLevel="0" collapsed="false">
      <c r="N134" s="12" t="n">
        <f aca="false">N133+0.01</f>
        <v>1.32</v>
      </c>
      <c r="O134" s="9" t="n">
        <f aca="false">SUMPRODUCT($F$7:$F$26,LN(1-EXP(-N134*$E$7:$E$26)+0.000000000001))-N134*SUMPRODUCT($G$7:$G$26,$E$7:$E$26)</f>
        <v>-2.84192003858872</v>
      </c>
      <c r="P134" s="9" t="n">
        <f aca="false">-0.5*((LN(N134)-LN($B$3))/$B$4)^2-LN(N134)</f>
        <v>-0.570997867174691</v>
      </c>
      <c r="Q134" s="9" t="n">
        <f aca="false">O134+P134</f>
        <v>-3.41291790576341</v>
      </c>
      <c r="R134" s="11" t="n">
        <f aca="false">EXP(Q134-MAX($Q$7:$Q$506))</f>
        <v>0.999352873475443</v>
      </c>
      <c r="S134" s="11" t="n">
        <f aca="false">SUM($R$7:R134)/SUM($R$7:$R$506)</f>
        <v>0.382050047040127</v>
      </c>
    </row>
    <row r="135" customFormat="false" ht="15" hidden="false" customHeight="false" outlineLevel="0" collapsed="false">
      <c r="N135" s="12" t="n">
        <f aca="false">N134+0.01</f>
        <v>1.33</v>
      </c>
      <c r="O135" s="9" t="n">
        <f aca="false">SUMPRODUCT($F$7:$F$26,LN(1-EXP(-N135*$E$7:$E$26)+0.000000000001))-N135*SUMPRODUCT($G$7:$G$26,$E$7:$E$26)</f>
        <v>-2.82365365299721</v>
      </c>
      <c r="P135" s="9" t="n">
        <f aca="false">-0.5*((LN(N135)-LN($B$3))/$B$4)^2-LN(N135)</f>
        <v>-0.59022107857402</v>
      </c>
      <c r="Q135" s="9" t="n">
        <f aca="false">O135+P135</f>
        <v>-3.41387473157123</v>
      </c>
      <c r="R135" s="11" t="n">
        <f aca="false">EXP(Q135-MAX($Q$7:$Q$506))</f>
        <v>0.998397124170707</v>
      </c>
      <c r="S135" s="11" t="n">
        <f aca="false">SUM($R$7:R135)/SUM($R$7:$R$506)</f>
        <v>0.389873475683482</v>
      </c>
    </row>
    <row r="136" customFormat="false" ht="15" hidden="false" customHeight="false" outlineLevel="0" collapsed="false">
      <c r="N136" s="12" t="n">
        <f aca="false">N135+0.01</f>
        <v>1.34</v>
      </c>
      <c r="O136" s="9" t="n">
        <f aca="false">SUMPRODUCT($F$7:$F$26,LN(1-EXP(-N136*$E$7:$E$26)+0.000000000001))-N136*SUMPRODUCT($G$7:$G$26,$E$7:$E$26)</f>
        <v>-2.80571619803171</v>
      </c>
      <c r="P136" s="9" t="n">
        <f aca="false">-0.5*((LN(N136)-LN($B$3))/$B$4)^2-LN(N136)</f>
        <v>-0.609525582134479</v>
      </c>
      <c r="Q136" s="9" t="n">
        <f aca="false">O136+P136</f>
        <v>-3.41524178016619</v>
      </c>
      <c r="R136" s="11" t="n">
        <f aca="false">EXP(Q136-MAX($Q$7:$Q$506))</f>
        <v>0.997033199273113</v>
      </c>
      <c r="S136" s="11" t="n">
        <f aca="false">SUM($R$7:R136)/SUM($R$7:$R$506)</f>
        <v>0.397686216626669</v>
      </c>
    </row>
    <row r="137" customFormat="false" ht="15" hidden="false" customHeight="false" outlineLevel="0" collapsed="false">
      <c r="N137" s="12" t="n">
        <f aca="false">N136+0.01</f>
        <v>1.35</v>
      </c>
      <c r="O137" s="9" t="n">
        <f aca="false">SUMPRODUCT($F$7:$F$26,LN(1-EXP(-N137*$E$7:$E$26)+0.000000000001))-N137*SUMPRODUCT($G$7:$G$26,$E$7:$E$26)</f>
        <v>-2.78810192421717</v>
      </c>
      <c r="P137" s="9" t="n">
        <f aca="false">-0.5*((LN(N137)-LN($B$3))/$B$4)^2-LN(N137)</f>
        <v>-0.628908500236671</v>
      </c>
      <c r="Q137" s="9" t="n">
        <f aca="false">O137+P137</f>
        <v>-3.41701042445384</v>
      </c>
      <c r="R137" s="11" t="n">
        <f aca="false">EXP(Q137-MAX($Q$7:$Q$506))</f>
        <v>0.995271360692755</v>
      </c>
      <c r="S137" s="11" t="n">
        <f aca="false">SUM($R$7:R137)/SUM($R$7:$R$506)</f>
        <v>0.405485151822543</v>
      </c>
    </row>
    <row r="138" customFormat="false" ht="15" hidden="false" customHeight="false" outlineLevel="0" collapsed="false">
      <c r="N138" s="12" t="n">
        <f aca="false">N137+0.01</f>
        <v>1.36</v>
      </c>
      <c r="O138" s="9" t="n">
        <f aca="false">SUMPRODUCT($F$7:$F$26,LN(1-EXP(-N138*$E$7:$E$26)+0.000000000001))-N138*SUMPRODUCT($G$7:$G$26,$E$7:$E$26)</f>
        <v>-2.77080521286339</v>
      </c>
      <c r="P138" s="9" t="n">
        <f aca="false">-0.5*((LN(N138)-LN($B$3))/$B$4)^2-LN(N138)</f>
        <v>-0.648367043514864</v>
      </c>
      <c r="Q138" s="9" t="n">
        <f aca="false">O138+P138</f>
        <v>-3.41917225637826</v>
      </c>
      <c r="R138" s="11" t="n">
        <f aca="false">EXP(Q138-MAX($Q$7:$Q$506))</f>
        <v>0.993122075325675</v>
      </c>
      <c r="S138" s="11" t="n">
        <f aca="false">SUM($R$7:R138)/SUM($R$7:$R$506)</f>
        <v>0.413267245242438</v>
      </c>
    </row>
    <row r="139" customFormat="false" ht="15" hidden="false" customHeight="false" outlineLevel="0" collapsed="false">
      <c r="N139" s="12" t="n">
        <f aca="false">N138+0.01</f>
        <v>1.37</v>
      </c>
      <c r="O139" s="9" t="n">
        <f aca="false">SUMPRODUCT($F$7:$F$26,LN(1-EXP(-N139*$E$7:$E$26)+0.000000000001))-N139*SUMPRODUCT($G$7:$G$26,$E$7:$E$26)</f>
        <v>-2.75382057223826</v>
      </c>
      <c r="P139" s="9" t="n">
        <f aca="false">-0.5*((LN(N139)-LN($B$3))/$B$4)^2-LN(N139)</f>
        <v>-0.667898507733331</v>
      </c>
      <c r="Q139" s="9" t="n">
        <f aca="false">O139+P139</f>
        <v>-3.42171907997159</v>
      </c>
      <c r="R139" s="11" t="n">
        <f aca="false">EXP(Q139-MAX($Q$7:$Q$506))</f>
        <v>0.990595986709639</v>
      </c>
      <c r="S139" s="11" t="n">
        <f aca="false">SUM($R$7:R139)/SUM($R$7:$R$506)</f>
        <v>0.421029544260331</v>
      </c>
    </row>
    <row r="140" customFormat="false" ht="15" hidden="false" customHeight="false" outlineLevel="0" collapsed="false">
      <c r="N140" s="12" t="n">
        <f aca="false">N139+0.01</f>
        <v>1.38</v>
      </c>
      <c r="O140" s="9" t="n">
        <f aca="false">SUMPRODUCT($F$7:$F$26,LN(1-EXP(-N140*$E$7:$E$26)+0.000000000001))-N140*SUMPRODUCT($G$7:$G$26,$E$7:$E$26)</f>
        <v>-2.73714263387981</v>
      </c>
      <c r="P140" s="9" t="n">
        <f aca="false">-0.5*((LN(N140)-LN($B$3))/$B$4)^2-LN(N140)</f>
        <v>-0.687500270791861</v>
      </c>
      <c r="Q140" s="9" t="n">
        <f aca="false">O140+P140</f>
        <v>-3.42464290467167</v>
      </c>
      <c r="R140" s="11" t="n">
        <f aca="false">EXP(Q140-MAX($Q$7:$Q$506))</f>
        <v>0.987703887751401</v>
      </c>
      <c r="S140" s="11" t="n">
        <f aca="false">SUM($R$7:R140)/SUM($R$7:$R$506)</f>
        <v>0.428769180823292</v>
      </c>
    </row>
    <row r="141" customFormat="false" ht="15" hidden="false" customHeight="false" outlineLevel="0" collapsed="false">
      <c r="N141" s="12" t="n">
        <f aca="false">N140+0.01</f>
        <v>1.39</v>
      </c>
      <c r="O141" s="9" t="n">
        <f aca="false">SUMPRODUCT($F$7:$F$26,LN(1-EXP(-N141*$E$7:$E$26)+0.000000000001))-N141*SUMPRODUCT($G$7:$G$26,$E$7:$E$26)</f>
        <v>-2.72076614904118</v>
      </c>
      <c r="P141" s="9" t="n">
        <f aca="false">-0.5*((LN(N141)-LN($B$3))/$B$4)^2-LN(N141)</f>
        <v>-0.707169789854279</v>
      </c>
      <c r="Q141" s="9" t="n">
        <f aca="false">O141+P141</f>
        <v>-3.42793593889546</v>
      </c>
      <c r="R141" s="11" t="n">
        <f aca="false">EXP(Q141-MAX($Q$7:$Q$506))</f>
        <v>0.984456694539649</v>
      </c>
      <c r="S141" s="11" t="n">
        <f aca="false">SUM($R$7:R141)/SUM($R$7:$R$506)</f>
        <v>0.436483372416744</v>
      </c>
    </row>
    <row r="142" customFormat="false" ht="15" hidden="false" customHeight="false" outlineLevel="0" collapsed="false">
      <c r="N142" s="12" t="n">
        <f aca="false">N141+0.01</f>
        <v>1.4</v>
      </c>
      <c r="O142" s="9" t="n">
        <f aca="false">SUMPRODUCT($F$7:$F$26,LN(1-EXP(-N142*$E$7:$E$26)+0.000000000001))-N142*SUMPRODUCT($G$7:$G$26,$E$7:$E$26)</f>
        <v>-2.7046859852627</v>
      </c>
      <c r="P142" s="9" t="n">
        <f aca="false">-0.5*((LN(N142)-LN($B$3))/$B$4)^2-LN(N142)</f>
        <v>-0.726904598594157</v>
      </c>
      <c r="Q142" s="9" t="n">
        <f aca="false">O142+P142</f>
        <v>-3.43159058385685</v>
      </c>
      <c r="R142" s="11" t="n">
        <f aca="false">EXP(Q142-MAX($Q$7:$Q$506))</f>
        <v>0.980865421252867</v>
      </c>
      <c r="S142" s="11" t="n">
        <f aca="false">SUM($R$7:R142)/SUM($R$7:$R$506)</f>
        <v>0.444169422833085</v>
      </c>
    </row>
    <row r="143" customFormat="false" ht="15" hidden="false" customHeight="false" outlineLevel="0" collapsed="false">
      <c r="N143" s="12" t="n">
        <f aca="false">N142+0.01</f>
        <v>1.41</v>
      </c>
      <c r="O143" s="9" t="n">
        <f aca="false">SUMPRODUCT($F$7:$F$26,LN(1-EXP(-N143*$E$7:$E$26)+0.000000000001))-N143*SUMPRODUCT($G$7:$G$26,$E$7:$E$26)</f>
        <v>-2.68889712306561</v>
      </c>
      <c r="P143" s="9" t="n">
        <f aca="false">-0.5*((LN(N143)-LN($B$3))/$B$4)^2-LN(N143)</f>
        <v>-0.7467023045522</v>
      </c>
      <c r="Q143" s="9" t="n">
        <f aca="false">O143+P143</f>
        <v>-3.43559942761781</v>
      </c>
      <c r="R143" s="11" t="n">
        <f aca="false">EXP(Q143-MAX($Q$7:$Q$506))</f>
        <v>0.976941156166854</v>
      </c>
      <c r="S143" s="11" t="n">
        <f aca="false">SUM($R$7:R143)/SUM($R$7:$R$506)</f>
        <v>0.45182472275232</v>
      </c>
    </row>
    <row r="144" customFormat="false" ht="15" hidden="false" customHeight="false" outlineLevel="0" collapsed="false">
      <c r="N144" s="12" t="n">
        <f aca="false">N143+0.01</f>
        <v>1.42</v>
      </c>
      <c r="O144" s="9" t="n">
        <f aca="false">SUMPRODUCT($F$7:$F$26,LN(1-EXP(-N144*$E$7:$E$26)+0.000000000001))-N144*SUMPRODUCT($G$7:$G$26,$E$7:$E$26)</f>
        <v>-2.67339465276249</v>
      </c>
      <c r="P144" s="9" t="n">
        <f aca="false">-0.5*((LN(N144)-LN($B$3))/$B$4)^2-LN(N144)</f>
        <v>-0.766560586600102</v>
      </c>
      <c r="Q144" s="9" t="n">
        <f aca="false">O144+P144</f>
        <v>-3.43995523936259</v>
      </c>
      <c r="R144" s="11" t="n">
        <f aca="false">EXP(Q144-MAX($Q$7:$Q$506))</f>
        <v>0.972695038762395</v>
      </c>
      <c r="S144" s="11" t="n">
        <f aca="false">SUM($R$7:R144)/SUM($R$7:$R$506)</f>
        <v>0.459446750143298</v>
      </c>
    </row>
    <row r="145" customFormat="false" ht="15" hidden="false" customHeight="false" outlineLevel="0" collapsed="false">
      <c r="N145" s="12" t="n">
        <f aca="false">N144+0.01</f>
        <v>1.43</v>
      </c>
      <c r="O145" s="9" t="n">
        <f aca="false">SUMPRODUCT($F$7:$F$26,LN(1-EXP(-N145*$E$7:$E$26)+0.000000000001))-N145*SUMPRODUCT($G$7:$G$26,$E$7:$E$26)</f>
        <v>-2.65817377137915</v>
      </c>
      <c r="P145" s="9" t="n">
        <f aca="false">-0.5*((LN(N145)-LN($B$3))/$B$4)^2-LN(N145)</f>
        <v>-0.786477192505909</v>
      </c>
      <c r="Q145" s="9" t="n">
        <f aca="false">O145+P145</f>
        <v>-3.44465096388506</v>
      </c>
      <c r="R145" s="11" t="n">
        <f aca="false">EXP(Q145-MAX($Q$7:$Q$506))</f>
        <v>0.968138237929751</v>
      </c>
      <c r="S145" s="11" t="n">
        <f aca="false">SUM($R$7:R145)/SUM($R$7:$R$506)</f>
        <v>0.467033070494169</v>
      </c>
    </row>
    <row r="146" customFormat="false" ht="15" hidden="false" customHeight="false" outlineLevel="0" collapsed="false">
      <c r="N146" s="12" t="n">
        <f aca="false">N145+0.01</f>
        <v>1.44</v>
      </c>
      <c r="O146" s="9" t="n">
        <f aca="false">SUMPRODUCT($F$7:$F$26,LN(1-EXP(-N146*$E$7:$E$26)+0.000000000001))-N146*SUMPRODUCT($G$7:$G$26,$E$7:$E$26)</f>
        <v>-2.64322977968369</v>
      </c>
      <c r="P146" s="9" t="n">
        <f aca="false">-0.5*((LN(N146)-LN($B$3))/$B$4)^2-LN(N146)</f>
        <v>-0.806449936596237</v>
      </c>
      <c r="Q146" s="9" t="n">
        <f aca="false">O146+P146</f>
        <v>-3.44967971627992</v>
      </c>
      <c r="R146" s="11" t="n">
        <f aca="false">EXP(Q146-MAX($Q$7:$Q$506))</f>
        <v>0.963281931263089</v>
      </c>
      <c r="S146" s="11" t="n">
        <f aca="false">SUM($R$7:R146)/SUM($R$7:$R$506)</f>
        <v>0.474581336880582</v>
      </c>
    </row>
    <row r="147" customFormat="false" ht="15" hidden="false" customHeight="false" outlineLevel="0" collapsed="false">
      <c r="N147" s="12" t="n">
        <f aca="false">N146+0.01</f>
        <v>1.45</v>
      </c>
      <c r="O147" s="9" t="n">
        <f aca="false">SUMPRODUCT($F$7:$F$26,LN(1-EXP(-N147*$E$7:$E$26)+0.000000000001))-N147*SUMPRODUCT($G$7:$G$26,$E$7:$E$26)</f>
        <v>-2.62855807931792</v>
      </c>
      <c r="P147" s="9" t="n">
        <f aca="false">-0.5*((LN(N147)-LN($B$3))/$B$4)^2-LN(N147)</f>
        <v>-0.82647669751089</v>
      </c>
      <c r="Q147" s="9" t="n">
        <f aca="false">O147+P147</f>
        <v>-3.45503477682881</v>
      </c>
      <c r="R147" s="11" t="n">
        <f aca="false">EXP(Q147-MAX($Q$7:$Q$506))</f>
        <v>0.958137285434755</v>
      </c>
      <c r="S147" s="11" t="n">
        <f aca="false">SUM($R$7:R147)/SUM($R$7:$R$506)</f>
        <v>0.482089289880109</v>
      </c>
    </row>
    <row r="148" customFormat="false" ht="15" hidden="false" customHeight="false" outlineLevel="0" collapsed="false">
      <c r="N148" s="12" t="n">
        <f aca="false">N147+0.01</f>
        <v>1.46</v>
      </c>
      <c r="O148" s="9" t="n">
        <f aca="false">SUMPRODUCT($F$7:$F$26,LN(1-EXP(-N148*$E$7:$E$26)+0.000000000001))-N148*SUMPRODUCT($G$7:$G$26,$E$7:$E$26)</f>
        <v>-2.61415417002725</v>
      </c>
      <c r="P148" s="9" t="n">
        <f aca="false">-0.5*((LN(N148)-LN($B$3))/$B$4)^2-LN(N148)</f>
        <v>-0.846555416045679</v>
      </c>
      <c r="Q148" s="9" t="n">
        <f aca="false">O148+P148</f>
        <v>-3.46070958607293</v>
      </c>
      <c r="R148" s="11" t="n">
        <f aca="false">EXP(Q148-MAX($Q$7:$Q$506))</f>
        <v>0.952715437636418</v>
      </c>
      <c r="S148" s="11" t="n">
        <f aca="false">SUM($R$7:R148)/SUM($R$7:$R$506)</f>
        <v>0.489554757341228</v>
      </c>
    </row>
    <row r="149" customFormat="false" ht="15" hidden="false" customHeight="false" outlineLevel="0" collapsed="false">
      <c r="N149" s="12" t="n">
        <f aca="false">N148+0.01</f>
        <v>1.47</v>
      </c>
      <c r="O149" s="9" t="n">
        <f aca="false">SUMPRODUCT($F$7:$F$26,LN(1-EXP(-N149*$E$7:$E$26)+0.000000000001))-N149*SUMPRODUCT($G$7:$G$26,$E$7:$E$26)</f>
        <v>-2.60001364698477</v>
      </c>
      <c r="P149" s="9" t="n">
        <f aca="false">-0.5*((LN(N149)-LN($B$3))/$B$4)^2-LN(N149)</f>
        <v>-0.866684093079454</v>
      </c>
      <c r="Q149" s="9" t="n">
        <f aca="false">O149+P149</f>
        <v>-3.46669774006422</v>
      </c>
      <c r="R149" s="11" t="n">
        <f aca="false">EXP(Q149-MAX($Q$7:$Q$506))</f>
        <v>0.947027478071412</v>
      </c>
      <c r="S149" s="11" t="n">
        <f aca="false">SUM($R$7:R149)/SUM($R$7:$R$506)</f>
        <v>0.496975654015127</v>
      </c>
    </row>
    <row r="150" customFormat="false" ht="15" hidden="false" customHeight="false" outlineLevel="0" collapsed="false">
      <c r="N150" s="12" t="n">
        <f aca="false">N149+0.01</f>
        <v>1.48</v>
      </c>
      <c r="O150" s="9" t="n">
        <f aca="false">SUMPRODUCT($F$7:$F$26,LN(1-EXP(-N150*$E$7:$E$26)+0.000000000001))-N150*SUMPRODUCT($G$7:$G$26,$E$7:$E$26)</f>
        <v>-2.58613219820581</v>
      </c>
      <c r="P150" s="9" t="n">
        <f aca="false">-0.5*((LN(N150)-LN($B$3))/$B$4)^2-LN(N150)</f>
        <v>-0.88686078758157</v>
      </c>
      <c r="Q150" s="9" t="n">
        <f aca="false">O150+P150</f>
        <v>-3.47299298578738</v>
      </c>
      <c r="R150" s="11" t="n">
        <f aca="false">EXP(Q150-MAX($Q$7:$Q$506))</f>
        <v>0.941084433480346</v>
      </c>
      <c r="S150" s="11" t="n">
        <f aca="false">SUM($R$7:R150)/SUM($R$7:$R$506)</f>
        <v>0.504349981058407</v>
      </c>
    </row>
    <row r="151" customFormat="false" ht="15" hidden="false" customHeight="false" outlineLevel="0" collapsed="false">
      <c r="N151" s="12" t="n">
        <f aca="false">N150+0.01</f>
        <v>1.49</v>
      </c>
      <c r="O151" s="9" t="n">
        <f aca="false">SUMPRODUCT($F$7:$F$26,LN(1-EXP(-N151*$E$7:$E$26)+0.000000000001))-N151*SUMPRODUCT($G$7:$G$26,$E$7:$E$26)</f>
        <v>-2.57250560204933</v>
      </c>
      <c r="P151" s="9" t="n">
        <f aca="false">-0.5*((LN(N151)-LN($B$3))/$B$4)^2-LN(N151)</f>
        <v>-0.907083614696184</v>
      </c>
      <c r="Q151" s="9" t="n">
        <f aca="false">O151+P151</f>
        <v>-3.47958921674551</v>
      </c>
      <c r="R151" s="11" t="n">
        <f aca="false">EXP(Q151-MAX($Q$7:$Q$506))</f>
        <v>0.934897251679877</v>
      </c>
      <c r="S151" s="11" t="n">
        <f aca="false">SUM($R$7:R151)/SUM($R$7:$R$506)</f>
        <v>0.511675825414641</v>
      </c>
    </row>
    <row r="152" customFormat="false" ht="15" hidden="false" customHeight="false" outlineLevel="0" collapsed="false">
      <c r="N152" s="12" t="n">
        <f aca="false">N151+0.01</f>
        <v>1.5</v>
      </c>
      <c r="O152" s="9" t="n">
        <f aca="false">SUMPRODUCT($F$7:$F$26,LN(1-EXP(-N152*$E$7:$E$26)+0.000000000001))-N152*SUMPRODUCT($G$7:$G$26,$E$7:$E$26)</f>
        <v>-2.55912972480262</v>
      </c>
      <c r="P152" s="9" t="n">
        <f aca="false">-0.5*((LN(N152)-LN($B$3))/$B$4)^2-LN(N152)</f>
        <v>-0.927350743899994</v>
      </c>
      <c r="Q152" s="9" t="n">
        <f aca="false">O152+P152</f>
        <v>-3.48648046870261</v>
      </c>
      <c r="R152" s="11" t="n">
        <f aca="false">EXP(Q152-MAX($Q$7:$Q$506))</f>
        <v>0.92847678709275</v>
      </c>
      <c r="S152" s="11" t="n">
        <f aca="false">SUM($R$7:R152)/SUM($R$7:$R$506)</f>
        <v>0.518951359082534</v>
      </c>
    </row>
    <row r="153" customFormat="false" ht="15" hidden="false" customHeight="false" outlineLevel="0" collapsed="false">
      <c r="N153" s="12" t="n">
        <f aca="false">N152+0.01</f>
        <v>1.51</v>
      </c>
      <c r="O153" s="9" t="n">
        <f aca="false">SUMPRODUCT($F$7:$F$26,LN(1-EXP(-N153*$E$7:$E$26)+0.000000000001))-N153*SUMPRODUCT($G$7:$G$26,$E$7:$E$26)</f>
        <v>-2.54600051834597</v>
      </c>
      <c r="P153" s="9" t="n">
        <f aca="false">-0.5*((LN(N153)-LN($B$3))/$B$4)^2-LN(N153)</f>
        <v>-0.947660397230157</v>
      </c>
      <c r="Q153" s="9" t="n">
        <f aca="false">O153+P153</f>
        <v>-3.49366091557612</v>
      </c>
      <c r="R153" s="11" t="n">
        <f aca="false">EXP(Q153-MAX($Q$7:$Q$506))</f>
        <v>0.921833787245563</v>
      </c>
      <c r="S153" s="11" t="n">
        <f aca="false">SUM($R$7:R153)/SUM($R$7:$R$506)</f>
        <v>0.52617483827829</v>
      </c>
    </row>
    <row r="154" customFormat="false" ht="15" hidden="false" customHeight="false" outlineLevel="0" collapsed="false">
      <c r="N154" s="12" t="n">
        <f aca="false">N153+0.01</f>
        <v>1.52</v>
      </c>
      <c r="O154" s="9" t="n">
        <f aca="false">SUMPRODUCT($F$7:$F$26,LN(1-EXP(-N154*$E$7:$E$26)+0.000000000001))-N154*SUMPRODUCT($G$7:$G$26,$E$7:$E$26)</f>
        <v>-2.5331140178942</v>
      </c>
      <c r="P154" s="9" t="n">
        <f aca="false">-0.5*((LN(N154)-LN($B$3))/$B$4)^2-LN(N154)</f>
        <v>-0.968010847579338</v>
      </c>
      <c r="Q154" s="9" t="n">
        <f aca="false">O154+P154</f>
        <v>-3.50112486547354</v>
      </c>
      <c r="R154" s="11" t="n">
        <f aca="false">EXP(Q154-MAX($Q$7:$Q$506))</f>
        <v>0.91497888020934</v>
      </c>
      <c r="S154" s="11" t="n">
        <f aca="false">SUM($R$7:R154)/SUM($R$7:$R$506)</f>
        <v>0.533344602499557</v>
      </c>
    </row>
    <row r="155" customFormat="false" ht="15" hidden="false" customHeight="false" outlineLevel="0" collapsed="false">
      <c r="N155" s="12" t="n">
        <f aca="false">N154+0.01</f>
        <v>1.53</v>
      </c>
      <c r="O155" s="9" t="n">
        <f aca="false">SUMPRODUCT($F$7:$F$26,LN(1-EXP(-N155*$E$7:$E$26)+0.000000000001))-N155*SUMPRODUCT($G$7:$G$26,$E$7:$E$26)</f>
        <v>-2.52046633981205</v>
      </c>
      <c r="P155" s="9" t="n">
        <f aca="false">-0.5*((LN(N155)-LN($B$3))/$B$4)^2-LN(N155)</f>
        <v>-0.988400417054942</v>
      </c>
      <c r="Q155" s="9" t="n">
        <f aca="false">O155+P155</f>
        <v>-3.50886675686699</v>
      </c>
      <c r="R155" s="11" t="n">
        <f aca="false">EXP(Q155-MAX($Q$7:$Q$506))</f>
        <v>0.907922562956797</v>
      </c>
      <c r="S155" s="11" t="n">
        <f aca="false">SUM($R$7:R155)/SUM($R$7:$R$506)</f>
        <v>0.540459073498143</v>
      </c>
    </row>
    <row r="156" customFormat="false" ht="15" hidden="false" customHeight="false" outlineLevel="0" collapsed="false">
      <c r="N156" s="12" t="n">
        <f aca="false">N155+0.01</f>
        <v>1.54</v>
      </c>
      <c r="O156" s="9" t="n">
        <f aca="false">SUMPRODUCT($F$7:$F$26,LN(1-EXP(-N156*$E$7:$E$26)+0.000000000001))-N156*SUMPRODUCT($G$7:$G$26,$E$7:$E$26)</f>
        <v>-2.5080536795004</v>
      </c>
      <c r="P156" s="9" t="n">
        <f aca="false">-0.5*((LN(N156)-LN($B$3))/$B$4)^2-LN(N156)</f>
        <v>-1.00882747539977</v>
      </c>
      <c r="Q156" s="9" t="n">
        <f aca="false">O156+P156</f>
        <v>-3.51688115490017</v>
      </c>
      <c r="R156" s="11" t="n">
        <f aca="false">EXP(Q156-MAX($Q$7:$Q$506))</f>
        <v>0.900675190609171</v>
      </c>
      <c r="S156" s="11" t="n">
        <f aca="false">SUM($R$7:R156)/SUM($R$7:$R$506)</f>
        <v>0.547516754168471</v>
      </c>
    </row>
    <row r="157" customFormat="false" ht="15" hidden="false" customHeight="false" outlineLevel="0" collapsed="false">
      <c r="N157" s="12" t="n">
        <f aca="false">N156+0.01</f>
        <v>1.55</v>
      </c>
      <c r="O157" s="9" t="n">
        <f aca="false">SUMPRODUCT($F$7:$F$26,LN(1-EXP(-N157*$E$7:$E$26)+0.000000000001))-N157*SUMPRODUCT($G$7:$G$26,$E$7:$E$26)</f>
        <v>-2.49587230935077</v>
      </c>
      <c r="P157" s="9" t="n">
        <f aca="false">-0.5*((LN(N157)-LN($B$3))/$B$4)^2-LN(N157)</f>
        <v>-1.02929043847143</v>
      </c>
      <c r="Q157" s="9" t="n">
        <f aca="false">O157+P157</f>
        <v>-3.5251627478222</v>
      </c>
      <c r="R157" s="11" t="n">
        <f aca="false">EXP(Q157-MAX($Q$7:$Q$506))</f>
        <v>0.893246966544703</v>
      </c>
      <c r="S157" s="11" t="n">
        <f aca="false">SUM($R$7:R157)/SUM($R$7:$R$506)</f>
        <v>0.554516227358521</v>
      </c>
    </row>
    <row r="158" customFormat="false" ht="15" hidden="false" customHeight="false" outlineLevel="0" collapsed="false">
      <c r="N158" s="12" t="n">
        <f aca="false">N157+0.01</f>
        <v>1.56</v>
      </c>
      <c r="O158" s="9" t="n">
        <f aca="false">SUMPRODUCT($F$7:$F$26,LN(1-EXP(-N158*$E$7:$E$26)+0.000000000001))-N158*SUMPRODUCT($G$7:$G$26,$E$7:$E$26)</f>
        <v>-2.48391857676528</v>
      </c>
      <c r="P158" s="9" t="n">
        <f aca="false">-0.5*((LN(N158)-LN($B$3))/$B$4)^2-LN(N158)</f>
        <v>-1.04978776677807</v>
      </c>
      <c r="Q158" s="9" t="n">
        <f aca="false">O158+P158</f>
        <v>-3.53370634354335</v>
      </c>
      <c r="R158" s="11" t="n">
        <f aca="false">EXP(Q158-MAX($Q$7:$Q$506))</f>
        <v>0.885647933340164</v>
      </c>
      <c r="S158" s="11" t="n">
        <f aca="false">SUM($R$7:R158)/SUM($R$7:$R$506)</f>
        <v>0.561456154609791</v>
      </c>
    </row>
    <row r="159" customFormat="false" ht="15" hidden="false" customHeight="false" outlineLevel="0" collapsed="false">
      <c r="N159" s="12" t="n">
        <f aca="false">N158+0.01</f>
        <v>1.57</v>
      </c>
      <c r="O159" s="9" t="n">
        <f aca="false">SUMPRODUCT($F$7:$F$26,LN(1-EXP(-N159*$E$7:$E$26)+0.000000000001))-N159*SUMPRODUCT($G$7:$G$26,$E$7:$E$26)</f>
        <v>-2.47218890223977</v>
      </c>
      <c r="P159" s="9" t="n">
        <f aca="false">-0.5*((LN(N159)-LN($B$3))/$B$4)^2-LN(N159)</f>
        <v>-1.07031796406785</v>
      </c>
      <c r="Q159" s="9" t="n">
        <f aca="false">O159+P159</f>
        <v>-3.54250686630763</v>
      </c>
      <c r="R159" s="11" t="n">
        <f aca="false">EXP(Q159-MAX($Q$7:$Q$506))</f>
        <v>0.877887964516362</v>
      </c>
      <c r="S159" s="11" t="n">
        <f aca="false">SUM($R$7:R159)/SUM($R$7:$R$506)</f>
        <v>0.568335274832577</v>
      </c>
    </row>
    <row r="160" customFormat="false" ht="15" hidden="false" customHeight="false" outlineLevel="0" collapsed="false">
      <c r="N160" s="12" t="n">
        <f aca="false">N159+0.01</f>
        <v>1.58</v>
      </c>
      <c r="O160" s="9" t="n">
        <f aca="false">SUMPRODUCT($F$7:$F$26,LN(1-EXP(-N160*$E$7:$E$26)+0.000000000001))-N160*SUMPRODUCT($G$7:$G$26,$E$7:$E$26)</f>
        <v>-2.46067977750741</v>
      </c>
      <c r="P160" s="9" t="n">
        <f aca="false">-0.5*((LN(N160)-LN($B$3))/$B$4)^2-LN(N160)</f>
        <v>-1.09087957597019</v>
      </c>
      <c r="Q160" s="9" t="n">
        <f aca="false">O160+P160</f>
        <v>-3.5515593534776</v>
      </c>
      <c r="R160" s="11" t="n">
        <f aca="false">EXP(Q160-MAX($Q$7:$Q$506))</f>
        <v>0.869976757058159</v>
      </c>
      <c r="S160" s="11" t="n">
        <f aca="false">SUM($R$7:R160)/SUM($R$7:$R$506)</f>
        <v>0.575152402922639</v>
      </c>
    </row>
    <row r="161" customFormat="false" ht="15" hidden="false" customHeight="false" outlineLevel="0" collapsed="false">
      <c r="N161" s="12" t="n">
        <f aca="false">N160+0.01</f>
        <v>1.59</v>
      </c>
      <c r="O161" s="9" t="n">
        <f aca="false">SUMPRODUCT($F$7:$F$26,LN(1-EXP(-N161*$E$7:$E$26)+0.000000000001))-N161*SUMPRODUCT($G$7:$G$26,$E$7:$E$26)</f>
        <v>-2.44938776374076</v>
      </c>
      <c r="P161" s="9" t="n">
        <f aca="false">-0.5*((LN(N161)-LN($B$3))/$B$4)^2-LN(N161)</f>
        <v>-1.11147118868626</v>
      </c>
      <c r="Q161" s="9" t="n">
        <f aca="false">O161+P161</f>
        <v>-3.56085895242702</v>
      </c>
      <c r="R161" s="11" t="n">
        <f aca="false">EXP(Q161-MAX($Q$7:$Q$506))</f>
        <v>0.861923824679368</v>
      </c>
      <c r="S161" s="11" t="n">
        <f aca="false">SUM($R$7:R161)/SUM($R$7:$R$506)</f>
        <v>0.581906428325094</v>
      </c>
    </row>
    <row r="162" customFormat="false" ht="15" hidden="false" customHeight="false" outlineLevel="0" collapsed="false">
      <c r="N162" s="12" t="n">
        <f aca="false">N161+0.01</f>
        <v>1.6</v>
      </c>
      <c r="O162" s="9" t="n">
        <f aca="false">SUMPRODUCT($F$7:$F$26,LN(1-EXP(-N162*$E$7:$E$26)+0.000000000001))-N162*SUMPRODUCT($G$7:$G$26,$E$7:$E$26)</f>
        <v>-2.43830948980997</v>
      </c>
      <c r="P162" s="9" t="n">
        <f aca="false">-0.5*((LN(N162)-LN($B$3))/$B$4)^2-LN(N162)</f>
        <v>-1.13209142772695</v>
      </c>
      <c r="Q162" s="9" t="n">
        <f aca="false">O162+P162</f>
        <v>-3.57040091753692</v>
      </c>
      <c r="R162" s="11" t="n">
        <f aca="false">EXP(Q162-MAX($Q$7:$Q$506))</f>
        <v>0.853738491802748</v>
      </c>
      <c r="S162" s="11" t="n">
        <f aca="false">SUM($R$7:R162)/SUM($R$7:$R$506)</f>
        <v>0.588596313551128</v>
      </c>
    </row>
    <row r="163" customFormat="false" ht="15" hidden="false" customHeight="false" outlineLevel="0" collapsed="false">
      <c r="N163" s="12" t="n">
        <f aca="false">N162+0.01</f>
        <v>1.61</v>
      </c>
      <c r="O163" s="9" t="n">
        <f aca="false">SUMPRODUCT($F$7:$F$26,LN(1-EXP(-N163*$E$7:$E$26)+0.000000000001))-N163*SUMPRODUCT($G$7:$G$26,$E$7:$E$26)</f>
        <v>-2.42744165059502</v>
      </c>
      <c r="P163" s="9" t="n">
        <f aca="false">-0.5*((LN(N163)-LN($B$3))/$B$4)^2-LN(N163)</f>
        <v>-1.15273895669619</v>
      </c>
      <c r="Q163" s="9" t="n">
        <f aca="false">O163+P163</f>
        <v>-3.58018060729122</v>
      </c>
      <c r="R163" s="11" t="n">
        <f aca="false">EXP(Q163-MAX($Q$7:$Q$506))</f>
        <v>0.845429888225338</v>
      </c>
      <c r="S163" s="11" t="n">
        <f aca="false">SUM($R$7:R163)/SUM($R$7:$R$506)</f>
        <v>0.595221092652915</v>
      </c>
    </row>
    <row r="164" customFormat="false" ht="15" hidden="false" customHeight="false" outlineLevel="0" collapsed="false">
      <c r="N164" s="12" t="n">
        <f aca="false">N163+0.01</f>
        <v>1.62</v>
      </c>
      <c r="O164" s="9" t="n">
        <f aca="false">SUMPRODUCT($F$7:$F$26,LN(1-EXP(-N164*$E$7:$E$26)+0.000000000001))-N164*SUMPRODUCT($G$7:$G$26,$E$7:$E$26)</f>
        <v>-2.41678100535</v>
      </c>
      <c r="P164" s="9" t="n">
        <f aca="false">-0.5*((LN(N164)-LN($B$3))/$B$4)^2-LN(N164)</f>
        <v>-1.17341247611781</v>
      </c>
      <c r="Q164" s="9" t="n">
        <f aca="false">O164+P164</f>
        <v>-3.59019348146781</v>
      </c>
      <c r="R164" s="11" t="n">
        <f aca="false">EXP(Q164-MAX($Q$7:$Q$506))</f>
        <v>0.837006944439497</v>
      </c>
      <c r="S164" s="11" t="n">
        <f aca="false">SUM($R$7:R164)/SUM($R$7:$R$506)</f>
        <v>0.601779869661867</v>
      </c>
    </row>
    <row r="165" customFormat="false" ht="15" hidden="false" customHeight="false" outlineLevel="0" collapsed="false">
      <c r="N165" s="12" t="n">
        <f aca="false">N164+0.01</f>
        <v>1.63</v>
      </c>
      <c r="O165" s="9" t="n">
        <f aca="false">SUMPRODUCT($F$7:$F$26,LN(1-EXP(-N165*$E$7:$E$26)+0.000000000001))-N165*SUMPRODUCT($G$7:$G$26,$E$7:$E$26)</f>
        <v>-2.40632437611754</v>
      </c>
      <c r="P165" s="9" t="n">
        <f aca="false">-0.5*((LN(N165)-LN($B$3))/$B$4)^2-LN(N165)</f>
        <v>-1.19411072230408</v>
      </c>
      <c r="Q165" s="9" t="n">
        <f aca="false">O165+P165</f>
        <v>-3.60043509842162</v>
      </c>
      <c r="R165" s="11" t="n">
        <f aca="false">EXP(Q165-MAX($Q$7:$Q$506))</f>
        <v>0.828478387580205</v>
      </c>
      <c r="S165" s="11" t="n">
        <f aca="false">SUM($R$7:R165)/SUM($R$7:$R$506)</f>
        <v>0.608271816995129</v>
      </c>
    </row>
    <row r="166" customFormat="false" ht="15" hidden="false" customHeight="false" outlineLevel="0" collapsed="false">
      <c r="N166" s="12" t="n">
        <f aca="false">N165+0.01</f>
        <v>1.64</v>
      </c>
      <c r="O166" s="9" t="n">
        <f aca="false">SUMPRODUCT($F$7:$F$26,LN(1-EXP(-N166*$E$7:$E$26)+0.000000000001))-N166*SUMPRODUCT($G$7:$G$26,$E$7:$E$26)</f>
        <v>-2.39606864619152</v>
      </c>
      <c r="P166" s="9" t="n">
        <f aca="false">-0.5*((LN(N166)-LN($B$3))/$B$4)^2-LN(N166)</f>
        <v>-1.21483246626438</v>
      </c>
      <c r="Q166" s="9" t="n">
        <f aca="false">O166+P166</f>
        <v>-3.6109011124559</v>
      </c>
      <c r="R166" s="11" t="n">
        <f aca="false">EXP(Q166-MAX($Q$7:$Q$506))</f>
        <v>0.819852737969461</v>
      </c>
      <c r="S166" s="11" t="n">
        <f aca="false">SUM($R$7:R166)/SUM($R$7:$R$506)</f>
        <v>0.614696173834989</v>
      </c>
    </row>
    <row r="167" customFormat="false" ht="15" hidden="false" customHeight="false" outlineLevel="0" collapsed="false">
      <c r="N167" s="12" t="n">
        <f aca="false">N166+0.01</f>
        <v>1.65</v>
      </c>
      <c r="O167" s="9" t="n">
        <f aca="false">SUMPRODUCT($F$7:$F$26,LN(1-EXP(-N167*$E$7:$E$26)+0.000000000001))-N167*SUMPRODUCT($G$7:$G$26,$E$7:$E$26)</f>
        <v>-2.38601075862636</v>
      </c>
      <c r="P167" s="9" t="n">
        <f aca="false">-0.5*((LN(N167)-LN($B$3))/$B$4)^2-LN(N167)</f>
        <v>-1.23557651265216</v>
      </c>
      <c r="Q167" s="9" t="n">
        <f aca="false">O167+P167</f>
        <v>-3.62158727127851</v>
      </c>
      <c r="R167" s="11" t="n">
        <f aca="false">EXP(Q167-MAX($Q$7:$Q$506))</f>
        <v>0.811138306228997</v>
      </c>
      <c r="S167" s="11" t="n">
        <f aca="false">SUM($R$7:R167)/SUM($R$7:$R$506)</f>
        <v>0.621052244485679</v>
      </c>
    </row>
    <row r="168" customFormat="false" ht="15" hidden="false" customHeight="false" outlineLevel="0" collapsed="false">
      <c r="N168" s="12" t="n">
        <f aca="false">N167+0.01</f>
        <v>1.66</v>
      </c>
      <c r="O168" s="9" t="n">
        <f aca="false">SUMPRODUCT($F$7:$F$26,LN(1-EXP(-N168*$E$7:$E$26)+0.000000000001))-N168*SUMPRODUCT($G$7:$G$26,$E$7:$E$26)</f>
        <v>-2.37614771479105</v>
      </c>
      <c r="P168" s="9" t="n">
        <f aca="false">-0.5*((LN(N168)-LN($B$3))/$B$4)^2-LN(N168)</f>
        <v>-1.25634169874885</v>
      </c>
      <c r="Q168" s="9" t="n">
        <f aca="false">O168+P168</f>
        <v>-3.6324894135399</v>
      </c>
      <c r="R168" s="11" t="n">
        <f aca="false">EXP(Q168-MAX($Q$7:$Q$506))</f>
        <v>0.802343190932938</v>
      </c>
      <c r="S168" s="11" t="n">
        <f aca="false">SUM($R$7:R168)/SUM($R$7:$R$506)</f>
        <v>0.627339396711763</v>
      </c>
    </row>
    <row r="169" customFormat="false" ht="15" hidden="false" customHeight="false" outlineLevel="0" collapsed="false">
      <c r="N169" s="12" t="n">
        <f aca="false">N168+0.01</f>
        <v>1.67</v>
      </c>
      <c r="O169" s="9" t="n">
        <f aca="false">SUMPRODUCT($F$7:$F$26,LN(1-EXP(-N169*$E$7:$E$26)+0.000000000001))-N169*SUMPRODUCT($G$7:$G$26,$E$7:$E$26)</f>
        <v>-2.36647657296658</v>
      </c>
      <c r="P169" s="9" t="n">
        <f aca="false">-0.5*((LN(N169)-LN($B$3))/$B$4)^2-LN(N169)</f>
        <v>-1.27712689348309</v>
      </c>
      <c r="Q169" s="9" t="n">
        <f aca="false">O169+P169</f>
        <v>-3.64360346644966</v>
      </c>
      <c r="R169" s="11" t="n">
        <f aca="false">EXP(Q169-MAX($Q$7:$Q$506))</f>
        <v>0.793475276772523</v>
      </c>
      <c r="S169" s="11" t="n">
        <f aca="false">SUM($R$7:R169)/SUM($R$7:$R$506)</f>
        <v>0.633557060062158</v>
      </c>
    </row>
    <row r="170" customFormat="false" ht="15" hidden="false" customHeight="false" outlineLevel="0" collapsed="false">
      <c r="N170" s="12" t="n">
        <f aca="false">N169+0.01</f>
        <v>1.68</v>
      </c>
      <c r="O170" s="9" t="n">
        <f aca="false">SUMPRODUCT($F$7:$F$26,LN(1-EXP(-N170*$E$7:$E$26)+0.000000000001))-N170*SUMPRODUCT($G$7:$G$26,$E$7:$E$26)</f>
        <v>-2.35699444698486</v>
      </c>
      <c r="P170" s="9" t="n">
        <f aca="false">-0.5*((LN(N170)-LN($B$3))/$B$4)^2-LN(N170)</f>
        <v>-1.29793099648394</v>
      </c>
      <c r="Q170" s="9" t="n">
        <f aca="false">O170+P170</f>
        <v>-3.65492544346881</v>
      </c>
      <c r="R170" s="11" t="n">
        <f aca="false">EXP(Q170-MAX($Q$7:$Q$506))</f>
        <v>0.784542233205559</v>
      </c>
      <c r="S170" s="11" t="n">
        <f aca="false">SUM($R$7:R170)/SUM($R$7:$R$506)</f>
        <v>0.639704724183567</v>
      </c>
    </row>
    <row r="171" customFormat="false" ht="15" hidden="false" customHeight="false" outlineLevel="0" collapsed="false">
      <c r="N171" s="12" t="n">
        <f aca="false">N170+0.01</f>
        <v>1.69</v>
      </c>
      <c r="O171" s="9" t="n">
        <f aca="false">SUMPRODUCT($F$7:$F$26,LN(1-EXP(-N171*$E$7:$E$26)+0.000000000001))-N171*SUMPRODUCT($G$7:$G$26,$E$7:$E$26)</f>
        <v>-2.34769850490804</v>
      </c>
      <c r="P171" s="9" t="n">
        <f aca="false">-0.5*((LN(N171)-LN($B$3))/$B$4)^2-LN(N171)</f>
        <v>-1.31875293716674</v>
      </c>
      <c r="Q171" s="9" t="n">
        <f aca="false">O171+P171</f>
        <v>-3.66645144207478</v>
      </c>
      <c r="R171" s="11" t="n">
        <f aca="false">EXP(Q171-MAX($Q$7:$Q$506))</f>
        <v>0.775551513563851</v>
      </c>
      <c r="S171" s="11" t="n">
        <f aca="false">SUM($R$7:R171)/SUM($R$7:$R$506)</f>
        <v>0.645781937126916</v>
      </c>
    </row>
    <row r="172" customFormat="false" ht="15" hidden="false" customHeight="false" outlineLevel="0" collapsed="false">
      <c r="N172" s="12" t="n">
        <f aca="false">N171+0.01</f>
        <v>1.7</v>
      </c>
      <c r="O172" s="9" t="n">
        <f aca="false">SUMPRODUCT($F$7:$F$26,LN(1-EXP(-N172*$E$7:$E$26)+0.000000000001))-N172*SUMPRODUCT($G$7:$G$26,$E$7:$E$26)</f>
        <v>-2.33858596774647</v>
      </c>
      <c r="P172" s="9" t="n">
        <f aca="false">-0.5*((LN(N172)-LN($B$3))/$B$4)^2-LN(N172)</f>
        <v>-1.33959167385022</v>
      </c>
      <c r="Q172" s="9" t="n">
        <f aca="false">O172+P172</f>
        <v>-3.67817764159669</v>
      </c>
      <c r="R172" s="11" t="n">
        <f aca="false">EXP(Q172-MAX($Q$7:$Q$506))</f>
        <v>0.766510354592494</v>
      </c>
      <c r="S172" s="11" t="n">
        <f aca="false">SUM($R$7:R172)/SUM($R$7:$R$506)</f>
        <v>0.651788303650185</v>
      </c>
    </row>
    <row r="173" customFormat="false" ht="15" hidden="false" customHeight="false" outlineLevel="0" collapsed="false">
      <c r="N173" s="12" t="n">
        <f aca="false">N172+0.01</f>
        <v>1.71</v>
      </c>
      <c r="O173" s="9" t="n">
        <f aca="false">SUMPRODUCT($F$7:$F$26,LN(1-EXP(-N173*$E$7:$E$26)+0.000000000001))-N173*SUMPRODUCT($G$7:$G$26,$E$7:$E$26)</f>
        <v>-2.32965410821416</v>
      </c>
      <c r="P173" s="9" t="n">
        <f aca="false">-0.5*((LN(N173)-LN($B$3))/$B$4)^2-LN(N173)</f>
        <v>-1.36044619290378</v>
      </c>
      <c r="Q173" s="9" t="n">
        <f aca="false">O173+P173</f>
        <v>-3.69010030111794</v>
      </c>
      <c r="R173" s="11" t="n">
        <f aca="false">EXP(Q173-MAX($Q$7:$Q$506))</f>
        <v>0.757425776395543</v>
      </c>
      <c r="S173" s="11" t="n">
        <f aca="false">SUM($R$7:R173)/SUM($R$7:$R$506)</f>
        <v>0.65772348352081</v>
      </c>
    </row>
    <row r="174" customFormat="false" ht="15" hidden="false" customHeight="false" outlineLevel="0" collapsed="false">
      <c r="N174" s="12" t="n">
        <f aca="false">N173+0.01</f>
        <v>1.72</v>
      </c>
      <c r="O174" s="9" t="n">
        <f aca="false">SUMPRODUCT($F$7:$F$26,LN(1-EXP(-N174*$E$7:$E$26)+0.000000000001))-N174*SUMPRODUCT($G$7:$G$26,$E$7:$E$26)</f>
        <v>-2.32090024952032</v>
      </c>
      <c r="P174" s="9" t="n">
        <f aca="false">-0.5*((LN(N174)-LN($B$3))/$B$4)^2-LN(N174)</f>
        <v>-1.38131550792369</v>
      </c>
      <c r="Q174" s="9" t="n">
        <f aca="false">O174+P174</f>
        <v>-3.70221575744401</v>
      </c>
      <c r="R174" s="11" t="n">
        <f aca="false">EXP(Q174-MAX($Q$7:$Q$506))</f>
        <v>0.74830458276331</v>
      </c>
      <c r="S174" s="11" t="n">
        <f aca="false">SUM($R$7:R174)/SUM($R$7:$R$506)</f>
        <v>0.663587189820653</v>
      </c>
    </row>
    <row r="175" customFormat="false" ht="15" hidden="false" customHeight="false" outlineLevel="0" collapsed="false">
      <c r="N175" s="12" t="n">
        <f aca="false">N174+0.01</f>
        <v>1.73</v>
      </c>
      <c r="O175" s="9" t="n">
        <f aca="false">SUMPRODUCT($F$7:$F$26,LN(1-EXP(-N175*$E$7:$E$26)+0.000000000001))-N175*SUMPRODUCT($G$7:$G$26,$E$7:$E$26)</f>
        <v>-2.31232176419579</v>
      </c>
      <c r="P175" s="9" t="n">
        <f aca="false">-0.5*((LN(N175)-LN($B$3))/$B$4)^2-LN(N175)</f>
        <v>-1.40219865893704</v>
      </c>
      <c r="Q175" s="9" t="n">
        <f aca="false">O175+P175</f>
        <v>-3.71452042313283</v>
      </c>
      <c r="R175" s="11" t="n">
        <f aca="false">EXP(Q175-MAX($Q$7:$Q$506))</f>
        <v>0.739153361857215</v>
      </c>
      <c r="S175" s="11" t="n">
        <f aca="false">SUM($R$7:R175)/SUM($R$7:$R$506)</f>
        <v>0.669379187256332</v>
      </c>
    </row>
    <row r="176" customFormat="false" ht="15" hidden="false" customHeight="false" outlineLevel="0" collapsed="false">
      <c r="N176" s="12" t="n">
        <f aca="false">N175+0.01</f>
        <v>1.74</v>
      </c>
      <c r="O176" s="9" t="n">
        <f aca="false">SUMPRODUCT($F$7:$F$26,LN(1-EXP(-N176*$E$7:$E$26)+0.000000000001))-N176*SUMPRODUCT($G$7:$G$26,$E$7:$E$26)</f>
        <v>-2.30391607295309</v>
      </c>
      <c r="P176" s="9" t="n">
        <f aca="false">-0.5*((LN(N176)-LN($B$3))/$B$4)^2-LN(N176)</f>
        <v>-1.42309471163246</v>
      </c>
      <c r="Q176" s="9" t="n">
        <f aca="false">O176+P176</f>
        <v>-3.72701078458555</v>
      </c>
      <c r="R176" s="11" t="n">
        <f aca="false">EXP(Q176-MAX($Q$7:$Q$506))</f>
        <v>0.729978487228864</v>
      </c>
      <c r="S176" s="11" t="n">
        <f aca="false">SUM($R$7:R176)/SUM($R$7:$R$506)</f>
        <v>0.675099290477545</v>
      </c>
    </row>
    <row r="177" customFormat="false" ht="15" hidden="false" customHeight="false" outlineLevel="0" collapsed="false">
      <c r="N177" s="12" t="n">
        <f aca="false">N176+0.01</f>
        <v>1.75</v>
      </c>
      <c r="O177" s="9" t="n">
        <f aca="false">SUMPRODUCT($F$7:$F$26,LN(1-EXP(-N177*$E$7:$E$26)+0.000000000001))-N177*SUMPRODUCT($G$7:$G$26,$E$7:$E$26)</f>
        <v>-2.29568064357902</v>
      </c>
      <c r="P177" s="9" t="n">
        <f aca="false">-0.5*((LN(N177)-LN($B$3))/$B$4)^2-LN(N177)</f>
        <v>-1.44400275661651</v>
      </c>
      <c r="Q177" s="9" t="n">
        <f aca="false">O177+P177</f>
        <v>-3.73968340019552</v>
      </c>
      <c r="R177" s="11" t="n">
        <f aca="false">EXP(Q177-MAX($Q$7:$Q$506))</f>
        <v>0.72078611915077</v>
      </c>
      <c r="S177" s="11" t="n">
        <f aca="false">SUM($R$7:R177)/SUM($R$7:$R$506)</f>
        <v>0.680747362405818</v>
      </c>
    </row>
    <row r="178" customFormat="false" ht="15" hidden="false" customHeight="false" outlineLevel="0" collapsed="false">
      <c r="N178" s="12" t="n">
        <f aca="false">N177+0.01</f>
        <v>1.76</v>
      </c>
      <c r="O178" s="9" t="n">
        <f aca="false">SUMPRODUCT($F$7:$F$26,LN(1-EXP(-N178*$E$7:$E$26)+0.000000000001))-N178*SUMPRODUCT($G$7:$G$26,$E$7:$E$26)</f>
        <v>-2.28761298985858</v>
      </c>
      <c r="P178" s="9" t="n">
        <f aca="false">-0.5*((LN(N178)-LN($B$3))/$B$4)^2-LN(N178)</f>
        <v>-1.46492190869482</v>
      </c>
      <c r="Q178" s="9" t="n">
        <f aca="false">O178+P178</f>
        <v>-3.75253489855341</v>
      </c>
      <c r="R178" s="11" t="n">
        <f aca="false">EXP(Q178-MAX($Q$7:$Q$506))</f>
        <v>0.711582206236915</v>
      </c>
      <c r="S178" s="11" t="n">
        <f aca="false">SUM($R$7:R178)/SUM($R$7:$R$506)</f>
        <v>0.686323312575947</v>
      </c>
    </row>
    <row r="179" customFormat="false" ht="15" hidden="false" customHeight="false" outlineLevel="0" collapsed="false">
      <c r="N179" s="12" t="n">
        <f aca="false">N178+0.01</f>
        <v>1.77</v>
      </c>
      <c r="O179" s="9" t="n">
        <f aca="false">SUMPRODUCT($F$7:$F$26,LN(1-EXP(-N179*$E$7:$E$26)+0.000000000001))-N179*SUMPRODUCT($G$7:$G$26,$E$7:$E$26)</f>
        <v>-2.27971067052934</v>
      </c>
      <c r="P179" s="9" t="n">
        <f aca="false">-0.5*((LN(N179)-LN($B$3))/$B$4)^2-LN(N179)</f>
        <v>-1.485851306177</v>
      </c>
      <c r="Q179" s="9" t="n">
        <f aca="false">O179+P179</f>
        <v>-3.76556197670634</v>
      </c>
      <c r="R179" s="11" t="n">
        <f aca="false">EXP(Q179-MAX($Q$7:$Q$506))</f>
        <v>0.702372487332067</v>
      </c>
      <c r="S179" s="11" t="n">
        <f aca="false">SUM($R$7:R179)/SUM($R$7:$R$506)</f>
        <v>0.691827095492251</v>
      </c>
    </row>
    <row r="180" customFormat="false" ht="15" hidden="false" customHeight="false" outlineLevel="0" collapsed="false">
      <c r="N180" s="12" t="n">
        <f aca="false">N179+0.01</f>
        <v>1.78</v>
      </c>
      <c r="O180" s="9" t="n">
        <f aca="false">SUMPRODUCT($F$7:$F$26,LN(1-EXP(-N180*$E$7:$E$26)+0.000000000001))-N180*SUMPRODUCT($G$7:$G$26,$E$7:$E$26)</f>
        <v>-2.27197128826494</v>
      </c>
      <c r="P180" s="9" t="n">
        <f aca="false">-0.5*((LN(N180)-LN($B$3))/$B$4)^2-LN(N180)</f>
        <v>-1.50679011020435</v>
      </c>
      <c r="Q180" s="9" t="n">
        <f aca="false">O180+P180</f>
        <v>-3.7787613984693</v>
      </c>
      <c r="R180" s="11" t="n">
        <f aca="false">EXP(Q180-MAX($Q$7:$Q$506))</f>
        <v>0.693162493649601</v>
      </c>
      <c r="S180" s="11" t="n">
        <f aca="false">SUM($R$7:R180)/SUM($R$7:$R$506)</f>
        <v>0.697258709001577</v>
      </c>
    </row>
    <row r="181" customFormat="false" ht="15" hidden="false" customHeight="false" outlineLevel="0" collapsed="false">
      <c r="N181" s="12" t="n">
        <f aca="false">N180+0.01</f>
        <v>1.79</v>
      </c>
      <c r="O181" s="9" t="n">
        <f aca="false">SUMPRODUCT($F$7:$F$26,LN(1-EXP(-N181*$E$7:$E$26)+0.000000000001))-N181*SUMPRODUCT($G$7:$G$26,$E$7:$E$26)</f>
        <v>-2.2643924886871</v>
      </c>
      <c r="P181" s="9" t="n">
        <f aca="false">-0.5*((LN(N181)-LN($B$3))/$B$4)^2-LN(N181)</f>
        <v>-1.52773750409975</v>
      </c>
      <c r="Q181" s="9" t="n">
        <f aca="false">O181+P181</f>
        <v>-3.79212999278684</v>
      </c>
      <c r="R181" s="11" t="n">
        <f aca="false">EXP(Q181-MAX($Q$7:$Q$506))</f>
        <v>0.683957551138278</v>
      </c>
      <c r="S181" s="11" t="n">
        <f aca="false">SUM($R$7:R181)/SUM($R$7:$R$506)</f>
        <v>0.702618192684844</v>
      </c>
    </row>
    <row r="182" customFormat="false" ht="15" hidden="false" customHeight="false" outlineLevel="0" collapsed="false">
      <c r="N182" s="12" t="n">
        <f aca="false">N181+0.01</f>
        <v>1.8</v>
      </c>
      <c r="O182" s="9" t="n">
        <f aca="false">SUMPRODUCT($F$7:$F$26,LN(1-EXP(-N182*$E$7:$E$26)+0.000000000001))-N182*SUMPRODUCT($G$7:$G$26,$E$7:$E$26)</f>
        <v>-2.25697195940486</v>
      </c>
      <c r="P182" s="9" t="n">
        <f aca="false">-0.5*((LN(N182)-LN($B$3))/$B$4)^2-LN(N182)</f>
        <v>-1.54869269273852</v>
      </c>
      <c r="Q182" s="9" t="n">
        <f aca="false">O182+P182</f>
        <v>-3.80566465214338</v>
      </c>
      <c r="R182" s="11" t="n">
        <f aca="false">EXP(Q182-MAX($Q$7:$Q$506))</f>
        <v>0.674762783059268</v>
      </c>
      <c r="S182" s="11" t="n">
        <f aca="false">SUM($R$7:R182)/SUM($R$7:$R$506)</f>
        <v>0.707905626268791</v>
      </c>
    </row>
    <row r="183" customFormat="false" ht="15" hidden="false" customHeight="false" outlineLevel="0" collapsed="false">
      <c r="N183" s="12" t="n">
        <f aca="false">N182+0.01</f>
        <v>1.81</v>
      </c>
      <c r="O183" s="9" t="n">
        <f aca="false">SUMPRODUCT($F$7:$F$26,LN(1-EXP(-N183*$E$7:$E$26)+0.000000000001))-N183*SUMPRODUCT($G$7:$G$26,$E$7:$E$26)</f>
        <v>-2.24970742908037</v>
      </c>
      <c r="P183" s="9" t="n">
        <f aca="false">-0.5*((LN(N183)-LN($B$3))/$B$4)^2-LN(N183)</f>
        <v>-1.56965490193993</v>
      </c>
      <c r="Q183" s="9" t="n">
        <f aca="false">O183+P183</f>
        <v>-3.8193623310203</v>
      </c>
      <c r="R183" s="11" t="n">
        <f aca="false">EXP(Q183-MAX($Q$7:$Q$506))</f>
        <v>0.66558311275543</v>
      </c>
      <c r="S183" s="11" t="n">
        <f aca="false">SUM($R$7:R183)/SUM($R$7:$R$506)</f>
        <v>0.713121128059413</v>
      </c>
    </row>
    <row r="184" customFormat="false" ht="15" hidden="false" customHeight="false" outlineLevel="0" collapsed="false">
      <c r="N184" s="12" t="n">
        <f aca="false">N183+0.01</f>
        <v>1.82</v>
      </c>
      <c r="O184" s="9" t="n">
        <f aca="false">SUMPRODUCT($F$7:$F$26,LN(1-EXP(-N184*$E$7:$E$26)+0.000000000001))-N184*SUMPRODUCT($G$7:$G$26,$E$7:$E$26)</f>
        <v>-2.24259666652026</v>
      </c>
      <c r="P184" s="9" t="n">
        <f aca="false">-0.5*((LN(N184)-LN($B$3))/$B$4)^2-LN(N184)</f>
        <v>-1.59062337787813</v>
      </c>
      <c r="Q184" s="9" t="n">
        <f aca="false">O184+P184</f>
        <v>-3.83322004439839</v>
      </c>
      <c r="R184" s="11" t="n">
        <f aca="false">EXP(Q184-MAX($Q$7:$Q$506))</f>
        <v>0.65642326659562</v>
      </c>
      <c r="S184" s="11" t="n">
        <f aca="false">SUM($R$7:R184)/SUM($R$7:$R$506)</f>
        <v>0.71826485339848</v>
      </c>
    </row>
    <row r="185" customFormat="false" ht="15" hidden="false" customHeight="false" outlineLevel="0" collapsed="false">
      <c r="N185" s="12" t="n">
        <f aca="false">N184+0.01</f>
        <v>1.83</v>
      </c>
      <c r="O185" s="9" t="n">
        <f aca="false">SUMPRODUCT($F$7:$F$26,LN(1-EXP(-N185*$E$7:$E$26)+0.000000000001))-N185*SUMPRODUCT($G$7:$G$26,$E$7:$E$26)</f>
        <v>-2.23563747979174</v>
      </c>
      <c r="P185" s="9" t="n">
        <f aca="false">-0.5*((LN(N185)-LN($B$3))/$B$4)^2-LN(N185)</f>
        <v>-1.61159738651215</v>
      </c>
      <c r="Q185" s="9" t="n">
        <f aca="false">O185+P185</f>
        <v>-3.84723486630389</v>
      </c>
      <c r="R185" s="11" t="n">
        <f aca="false">EXP(Q185-MAX($Q$7:$Q$506))</f>
        <v>0.647287777077586</v>
      </c>
      <c r="S185" s="11" t="n">
        <f aca="false">SUM($R$7:R185)/SUM($R$7:$R$506)</f>
        <v>0.723336993144364</v>
      </c>
    </row>
    <row r="186" customFormat="false" ht="15" hidden="false" customHeight="false" outlineLevel="0" collapsed="false">
      <c r="N186" s="12" t="n">
        <f aca="false">N185+0.01</f>
        <v>1.84</v>
      </c>
      <c r="O186" s="9" t="n">
        <f aca="false">SUMPRODUCT($F$7:$F$26,LN(1-EXP(-N186*$E$7:$E$26)+0.000000000001))-N186*SUMPRODUCT($G$7:$G$26,$E$7:$E$26)</f>
        <v>-2.22882771536269</v>
      </c>
      <c r="P186" s="9" t="n">
        <f aca="false">-0.5*((LN(N186)-LN($B$3))/$B$4)^2-LN(N186)</f>
        <v>-1.63257621303404</v>
      </c>
      <c r="Q186" s="9" t="n">
        <f aca="false">O186+P186</f>
        <v>-3.86140392839673</v>
      </c>
      <c r="R186" s="11" t="n">
        <f aca="false">EXP(Q186-MAX($Q$7:$Q$506))</f>
        <v>0.638180986073702</v>
      </c>
      <c r="S186" s="11" t="n">
        <f aca="false">SUM($R$7:R186)/SUM($R$7:$R$506)</f>
        <v>0.728337772178299</v>
      </c>
    </row>
    <row r="187" customFormat="false" ht="15" hidden="false" customHeight="false" outlineLevel="0" collapsed="false">
      <c r="N187" s="12" t="n">
        <f aca="false">N186+0.01</f>
        <v>1.85</v>
      </c>
      <c r="O187" s="9" t="n">
        <f aca="false">SUMPRODUCT($F$7:$F$26,LN(1-EXP(-N187*$E$7:$E$26)+0.000000000001))-N187*SUMPRODUCT($G$7:$G$26,$E$7:$E$26)</f>
        <v>-2.22216525726486</v>
      </c>
      <c r="P187" s="9" t="n">
        <f aca="false">-0.5*((LN(N187)-LN($B$3))/$B$4)^2-LN(N187)</f>
        <v>-1.65355916133467</v>
      </c>
      <c r="Q187" s="9" t="n">
        <f aca="false">O187+P187</f>
        <v>-3.87572441859953</v>
      </c>
      <c r="R187" s="11" t="n">
        <f aca="false">EXP(Q187-MAX($Q$7:$Q$506))</f>
        <v>0.629107048204575</v>
      </c>
      <c r="S187" s="11" t="n">
        <f aca="false">SUM($R$7:R187)/SUM($R$7:$R$506)</f>
        <v>0.733267447937079</v>
      </c>
    </row>
    <row r="188" customFormat="false" ht="15" hidden="false" customHeight="false" outlineLevel="0" collapsed="false">
      <c r="N188" s="12" t="n">
        <f aca="false">N187+0.01</f>
        <v>1.86</v>
      </c>
      <c r="O188" s="9" t="n">
        <f aca="false">SUMPRODUCT($F$7:$F$26,LN(1-EXP(-N188*$E$7:$E$26)+0.000000000001))-N188*SUMPRODUCT($G$7:$G$26,$E$7:$E$26)</f>
        <v>-2.2156480262796</v>
      </c>
      <c r="P188" s="9" t="n">
        <f aca="false">-0.5*((LN(N188)-LN($B$3))/$B$4)^2-LN(N188)</f>
        <v>-1.67454555348631</v>
      </c>
      <c r="Q188" s="9" t="n">
        <f aca="false">O188+P188</f>
        <v>-3.89019357976591</v>
      </c>
      <c r="R188" s="11" t="n">
        <f aca="false">EXP(Q188-MAX($Q$7:$Q$506))</f>
        <v>0.620069934326209</v>
      </c>
      <c r="S188" s="11" t="n">
        <f aca="false">SUM($R$7:R188)/SUM($R$7:$R$506)</f>
        <v>0.738126308973082</v>
      </c>
    </row>
    <row r="189" customFormat="false" ht="15" hidden="false" customHeight="false" outlineLevel="0" collapsed="false">
      <c r="N189" s="12" t="n">
        <f aca="false">N188+0.01</f>
        <v>1.87</v>
      </c>
      <c r="O189" s="9" t="n">
        <f aca="false">SUMPRODUCT($F$7:$F$26,LN(1-EXP(-N189*$E$7:$E$26)+0.000000000001))-N189*SUMPRODUCT($G$7:$G$26,$E$7:$E$26)</f>
        <v>-2.20927397914518</v>
      </c>
      <c r="P189" s="9" t="n">
        <f aca="false">-0.5*((LN(N189)-LN($B$3))/$B$4)^2-LN(N189)</f>
        <v>-1.69553472924166</v>
      </c>
      <c r="Q189" s="9" t="n">
        <f aca="false">O189+P189</f>
        <v>-3.90480870838684</v>
      </c>
      <c r="R189" s="11" t="n">
        <f aca="false">EXP(Q189-MAX($Q$7:$Q$506))</f>
        <v>0.611073435117201</v>
      </c>
      <c r="S189" s="11" t="n">
        <f aca="false">SUM($R$7:R189)/SUM($R$7:$R$506)</f>
        <v>0.742914673542402</v>
      </c>
    </row>
    <row r="190" customFormat="false" ht="15" hidden="false" customHeight="false" outlineLevel="0" collapsed="false">
      <c r="N190" s="12" t="n">
        <f aca="false">N189+0.01</f>
        <v>1.88</v>
      </c>
      <c r="O190" s="9" t="n">
        <f aca="false">SUMPRODUCT($F$7:$F$26,LN(1-EXP(-N190*$E$7:$E$26)+0.000000000001))-N190*SUMPRODUCT($G$7:$G$26,$E$7:$E$26)</f>
        <v>-2.20304110778518</v>
      </c>
      <c r="P190" s="9" t="n">
        <f aca="false">-0.5*((LN(N190)-LN($B$3))/$B$4)^2-LN(N190)</f>
        <v>-1.71652604554854</v>
      </c>
      <c r="Q190" s="9" t="n">
        <f aca="false">O190+P190</f>
        <v>-3.91956715333372</v>
      </c>
      <c r="R190" s="11" t="n">
        <f aca="false">EXP(Q190-MAX($Q$7:$Q$506))</f>
        <v>0.602121164753026</v>
      </c>
      <c r="S190" s="11" t="n">
        <f aca="false">SUM($R$7:R190)/SUM($R$7:$R$506)</f>
        <v>0.747632888221768</v>
      </c>
    </row>
    <row r="191" customFormat="false" ht="15" hidden="false" customHeight="false" outlineLevel="0" collapsed="false">
      <c r="N191" s="12" t="n">
        <f aca="false">N190+0.01</f>
        <v>1.89</v>
      </c>
      <c r="O191" s="9" t="n">
        <f aca="false">SUMPRODUCT($F$7:$F$26,LN(1-EXP(-N191*$E$7:$E$26)+0.000000000001))-N191*SUMPRODUCT($G$7:$G$26,$E$7:$E$26)</f>
        <v>-2.19694743855725</v>
      </c>
      <c r="P191" s="9" t="n">
        <f aca="false">-0.5*((LN(N191)-LN($B$3))/$B$4)^2-LN(N191)</f>
        <v>-1.73751887607971</v>
      </c>
      <c r="Q191" s="9" t="n">
        <f aca="false">O191+P191</f>
        <v>-3.93446631463696</v>
      </c>
      <c r="R191" s="11" t="n">
        <f aca="false">EXP(Q191-MAX($Q$7:$Q$506))</f>
        <v>0.593216564655245</v>
      </c>
      <c r="S191" s="11" t="n">
        <f aca="false">SUM($R$7:R191)/SUM($R$7:$R$506)</f>
        <v>0.752281326554852</v>
      </c>
    </row>
    <row r="192" customFormat="false" ht="15" hidden="false" customHeight="false" outlineLevel="0" collapsed="false">
      <c r="N192" s="12" t="n">
        <f aca="false">N191+0.01</f>
        <v>1.9</v>
      </c>
      <c r="O192" s="9" t="n">
        <f aca="false">SUMPRODUCT($F$7:$F$26,LN(1-EXP(-N192*$E$7:$E$26)+0.000000000001))-N192*SUMPRODUCT($G$7:$G$26,$E$7:$E$26)</f>
        <v>-2.19099103152149</v>
      </c>
      <c r="P192" s="9" t="n">
        <f aca="false">-0.5*((LN(N192)-LN($B$3))/$B$4)^2-LN(N192)</f>
        <v>-1.75851261077739</v>
      </c>
      <c r="Q192" s="9" t="n">
        <f aca="false">O192+P192</f>
        <v>-3.94950364229887</v>
      </c>
      <c r="R192" s="11" t="n">
        <f aca="false">EXP(Q192-MAX($Q$7:$Q$506))</f>
        <v>0.584362907304037</v>
      </c>
      <c r="S192" s="11" t="n">
        <f aca="false">SUM($R$7:R192)/SUM($R$7:$R$506)</f>
        <v>0.756860387728445</v>
      </c>
    </row>
    <row r="193" customFormat="false" ht="15" hidden="false" customHeight="false" outlineLevel="0" collapsed="false">
      <c r="N193" s="12" t="n">
        <f aca="false">N192+0.01</f>
        <v>1.91</v>
      </c>
      <c r="O193" s="9" t="n">
        <f aca="false">SUMPRODUCT($F$7:$F$26,LN(1-EXP(-N193*$E$7:$E$26)+0.000000000001))-N193*SUMPRODUCT($G$7:$G$26,$E$7:$E$26)</f>
        <v>-2.18516997972802</v>
      </c>
      <c r="P193" s="9" t="n">
        <f aca="false">-0.5*((LN(N193)-LN($B$3))/$B$4)^2-LN(N193)</f>
        <v>-1.77950665541181</v>
      </c>
      <c r="Q193" s="9" t="n">
        <f aca="false">O193+P193</f>
        <v>-3.96467663513982</v>
      </c>
      <c r="R193" s="11" t="n">
        <f aca="false">EXP(Q193-MAX($Q$7:$Q$506))</f>
        <v>0.575563300103133</v>
      </c>
      <c r="S193" s="11" t="n">
        <f aca="false">SUM($R$7:R193)/SUM($R$7:$R$506)</f>
        <v>0.761370495278916</v>
      </c>
    </row>
    <row r="194" customFormat="false" ht="15" hidden="false" customHeight="false" outlineLevel="0" collapsed="false">
      <c r="N194" s="12" t="n">
        <f aca="false">N193+0.01</f>
        <v>1.92</v>
      </c>
      <c r="O194" s="9" t="n">
        <f aca="false">SUMPRODUCT($F$7:$F$26,LN(1-EXP(-N194*$E$7:$E$26)+0.000000000001))-N194*SUMPRODUCT($G$7:$G$26,$E$7:$E$26)</f>
        <v>-2.17948240852295</v>
      </c>
      <c r="P194" s="9" t="n">
        <f aca="false">-0.5*((LN(N194)-LN($B$3))/$B$4)^2-LN(N194)</f>
        <v>-1.80050043115341</v>
      </c>
      <c r="Q194" s="9" t="n">
        <f aca="false">O194+P194</f>
        <v>-3.97998283967636</v>
      </c>
      <c r="R194" s="11" t="n">
        <f aca="false">EXP(Q194-MAX($Q$7:$Q$506))</f>
        <v>0.566820689286862</v>
      </c>
      <c r="S194" s="11" t="n">
        <f aca="false">SUM($R$7:R194)/SUM($R$7:$R$506)</f>
        <v>0.765812095829294</v>
      </c>
    </row>
    <row r="195" customFormat="false" ht="15" hidden="false" customHeight="false" outlineLevel="0" collapsed="false">
      <c r="N195" s="12" t="n">
        <f aca="false">N194+0.01</f>
        <v>1.93</v>
      </c>
      <c r="O195" s="9" t="n">
        <f aca="false">SUMPRODUCT($F$7:$F$26,LN(1-EXP(-N195*$E$7:$E$26)+0.000000000001))-N195*SUMPRODUCT($G$7:$G$26,$E$7:$E$26)</f>
        <v>-2.17392647487233</v>
      </c>
      <c r="P195" s="9" t="n">
        <f aca="false">-0.5*((LN(N195)-LN($B$3))/$B$4)^2-LN(N195)</f>
        <v>-1.82149337415816</v>
      </c>
      <c r="Q195" s="9" t="n">
        <f aca="false">O195+P195</f>
        <v>-3.99541984903049</v>
      </c>
      <c r="R195" s="11" t="n">
        <f aca="false">EXP(Q195-MAX($Q$7:$Q$506))</f>
        <v>0.558137863859563</v>
      </c>
      <c r="S195" s="11" t="n">
        <f aca="false">SUM($R$7:R195)/SUM($R$7:$R$506)</f>
        <v>0.770185657857217</v>
      </c>
    </row>
    <row r="196" customFormat="false" ht="15" hidden="false" customHeight="false" outlineLevel="0" collapsed="false">
      <c r="N196" s="12" t="n">
        <f aca="false">N195+0.01</f>
        <v>1.94</v>
      </c>
      <c r="O196" s="9" t="n">
        <f aca="false">SUMPRODUCT($F$7:$F$26,LN(1-EXP(-N196*$E$7:$E$26)+0.000000000001))-N196*SUMPRODUCT($G$7:$G$26,$E$7:$E$26)</f>
        <v>-2.16850036670339</v>
      </c>
      <c r="P196" s="9" t="n">
        <f aca="false">-0.5*((LN(N196)-LN($B$3))/$B$4)^2-LN(N196)</f>
        <v>-1.84248493516552</v>
      </c>
      <c r="Q196" s="9" t="n">
        <f aca="false">O196+P196</f>
        <v>-4.01098530186892</v>
      </c>
      <c r="R196" s="11" t="n">
        <f aca="false">EXP(Q196-MAX($Q$7:$Q$506))</f>
        <v>0.549517459558264</v>
      </c>
      <c r="S196" s="11" t="n">
        <f aca="false">SUM($R$7:R196)/SUM($R$7:$R$506)</f>
        <v>0.774491670493924</v>
      </c>
    </row>
    <row r="197" customFormat="false" ht="15" hidden="false" customHeight="false" outlineLevel="0" collapsed="false">
      <c r="N197" s="12" t="n">
        <f aca="false">N196+0.01</f>
        <v>1.95</v>
      </c>
      <c r="O197" s="9" t="n">
        <f aca="false">SUMPRODUCT($F$7:$F$26,LN(1-EXP(-N197*$E$7:$E$26)+0.000000000001))-N197*SUMPRODUCT($G$7:$G$26,$E$7:$E$26)</f>
        <v>-2.16320230226269</v>
      </c>
      <c r="P197" s="9" t="n">
        <f aca="false">-0.5*((LN(N197)-LN($B$3))/$B$4)^2-LN(N197)</f>
        <v>-1.86347457910867</v>
      </c>
      <c r="Q197" s="9" t="n">
        <f aca="false">O197+P197</f>
        <v>-4.02667688137135</v>
      </c>
      <c r="R197" s="11" t="n">
        <f aca="false">EXP(Q197-MAX($Q$7:$Q$506))</f>
        <v>0.54096196283003</v>
      </c>
      <c r="S197" s="11" t="n">
        <f aca="false">SUM($R$7:R197)/SUM($R$7:$R$506)</f>
        <v>0.778730642354431</v>
      </c>
    </row>
    <row r="198" customFormat="false" ht="15" hidden="false" customHeight="false" outlineLevel="0" collapsed="false">
      <c r="N198" s="12" t="n">
        <f aca="false">N197+0.01</f>
        <v>1.96</v>
      </c>
      <c r="O198" s="9" t="n">
        <f aca="false">SUMPRODUCT($F$7:$F$26,LN(1-EXP(-N198*$E$7:$E$26)+0.000000000001))-N198*SUMPRODUCT($G$7:$G$26,$E$7:$E$26)</f>
        <v>-2.15803052949049</v>
      </c>
      <c r="P198" s="9" t="n">
        <f aca="false">-0.5*((LN(N198)-LN($B$3))/$B$4)^2-LN(N198)</f>
        <v>-1.88446178473647</v>
      </c>
      <c r="Q198" s="9" t="n">
        <f aca="false">O198+P198</f>
        <v>-4.04249231422696</v>
      </c>
      <c r="R198" s="11" t="n">
        <f aca="false">EXP(Q198-MAX($Q$7:$Q$506))</f>
        <v>0.532473714815961</v>
      </c>
      <c r="S198" s="11" t="n">
        <f aca="false">SUM($R$7:R198)/SUM($R$7:$R$506)</f>
        <v>0.782903100398904</v>
      </c>
    </row>
    <row r="199" customFormat="false" ht="15" hidden="false" customHeight="false" outlineLevel="0" collapsed="false">
      <c r="N199" s="12" t="n">
        <f aca="false">N198+0.01</f>
        <v>1.97</v>
      </c>
      <c r="O199" s="9" t="n">
        <f aca="false">SUMPRODUCT($F$7:$F$26,LN(1-EXP(-N199*$E$7:$E$26)+0.000000000001))-N199*SUMPRODUCT($G$7:$G$26,$E$7:$E$26)</f>
        <v>-2.15298332541105</v>
      </c>
      <c r="P199" s="9" t="n">
        <f aca="false">-0.5*((LN(N199)-LN($B$3))/$B$4)^2-LN(N199)</f>
        <v>-1.90544604424695</v>
      </c>
      <c r="Q199" s="9" t="n">
        <f aca="false">O199+P199</f>
        <v>-4.058429369658</v>
      </c>
      <c r="R199" s="11" t="n">
        <f aca="false">EXP(Q199-MAX($Q$7:$Q$506))</f>
        <v>0.524054915334339</v>
      </c>
      <c r="S199" s="11" t="n">
        <f aca="false">SUM($R$7:R199)/SUM($R$7:$R$506)</f>
        <v>0.787009588825263</v>
      </c>
    </row>
    <row r="200" customFormat="false" ht="15" hidden="false" customHeight="false" outlineLevel="0" collapsed="false">
      <c r="N200" s="12" t="n">
        <f aca="false">N199+0.01</f>
        <v>1.98</v>
      </c>
      <c r="O200" s="9" t="n">
        <f aca="false">SUMPRODUCT($F$7:$F$26,LN(1-EXP(-N200*$E$7:$E$26)+0.000000000001))-N200*SUMPRODUCT($G$7:$G$26,$E$7:$E$26)</f>
        <v>-2.14805899553813</v>
      </c>
      <c r="P200" s="9" t="n">
        <f aca="false">-0.5*((LN(N200)-LN($B$3))/$B$4)^2-LN(N200)</f>
        <v>-1.92642686293163</v>
      </c>
      <c r="Q200" s="9" t="n">
        <f aca="false">O200+P200</f>
        <v>-4.07448585846977</v>
      </c>
      <c r="R200" s="11" t="n">
        <f aca="false">EXP(Q200-MAX($Q$7:$Q$506))</f>
        <v>0.515707626855897</v>
      </c>
      <c r="S200" s="11" t="n">
        <f aca="false">SUM($R$7:R200)/SUM($R$7:$R$506)</f>
        <v>0.791050667992926</v>
      </c>
    </row>
    <row r="201" customFormat="false" ht="15" hidden="false" customHeight="false" outlineLevel="0" collapsed="false">
      <c r="N201" s="12" t="n">
        <f aca="false">N200+0.01</f>
        <v>1.99</v>
      </c>
      <c r="O201" s="9" t="n">
        <f aca="false">SUMPRODUCT($F$7:$F$26,LN(1-EXP(-N201*$E$7:$E$26)+0.000000000001))-N201*SUMPRODUCT($G$7:$G$26,$E$7:$E$26)</f>
        <v>-2.14325587329551</v>
      </c>
      <c r="P201" s="9" t="n">
        <f aca="false">-0.5*((LN(N201)-LN($B$3))/$B$4)^2-LN(N201)</f>
        <v>-1.94740375883064</v>
      </c>
      <c r="Q201" s="9" t="n">
        <f aca="false">O201+P201</f>
        <v>-4.09065963212615</v>
      </c>
      <c r="R201" s="11" t="n">
        <f aca="false">EXP(Q201-MAX($Q$7:$Q$506))</f>
        <v>0.507433778464702</v>
      </c>
      <c r="S201" s="11" t="n">
        <f aca="false">SUM($R$7:R201)/SUM($R$7:$R$506)</f>
        <v>0.795026913377591</v>
      </c>
    </row>
    <row r="202" customFormat="false" ht="15" hidden="false" customHeight="false" outlineLevel="0" collapsed="false">
      <c r="N202" s="12" t="n">
        <f aca="false">N201+0.01</f>
        <v>2</v>
      </c>
      <c r="O202" s="9" t="n">
        <f aca="false">SUMPRODUCT($F$7:$F$26,LN(1-EXP(-N202*$E$7:$E$26)+0.000000000001))-N202*SUMPRODUCT($G$7:$G$26,$E$7:$E$26)</f>
        <v>-2.1385723194518</v>
      </c>
      <c r="P202" s="9" t="n">
        <f aca="false">-0.5*((LN(N202)-LN($B$3))/$B$4)^2-LN(N202)</f>
        <v>-1.96837626239797</v>
      </c>
      <c r="Q202" s="9" t="n">
        <f aca="false">O202+P202</f>
        <v>-4.10694858184978</v>
      </c>
      <c r="R202" s="11" t="n">
        <f aca="false">EXP(Q202-MAX($Q$7:$Q$506))</f>
        <v>0.499235169798594</v>
      </c>
      <c r="S202" s="11" t="n">
        <f aca="false">SUM($R$7:R202)/SUM($R$7:$R$506)</f>
        <v>0.798938914556898</v>
      </c>
    </row>
    <row r="203" customFormat="false" ht="15" hidden="false" customHeight="false" outlineLevel="0" collapsed="false">
      <c r="N203" s="12" t="n">
        <f aca="false">N202+0.01</f>
        <v>2.01</v>
      </c>
      <c r="O203" s="9" t="n">
        <f aca="false">SUMPRODUCT($F$7:$F$26,LN(1-EXP(-N203*$E$7:$E$26)+0.000000000001))-N203*SUMPRODUCT($G$7:$G$26,$E$7:$E$26)</f>
        <v>-2.13400672156937</v>
      </c>
      <c r="P203" s="9" t="n">
        <f aca="false">-0.5*((LN(N203)-LN($B$3))/$B$4)^2-LN(N203)</f>
        <v>-1.98934391617674</v>
      </c>
      <c r="Q203" s="9" t="n">
        <f aca="false">O203+P203</f>
        <v>-4.12335063774611</v>
      </c>
      <c r="R203" s="11" t="n">
        <f aca="false">EXP(Q203-MAX($Q$7:$Q$506))</f>
        <v>0.49111347496355</v>
      </c>
      <c r="S203" s="11" t="n">
        <f aca="false">SUM($R$7:R203)/SUM($R$7:$R$506)</f>
        <v>0.802787274226763</v>
      </c>
    </row>
    <row r="204" customFormat="false" ht="15" hidden="false" customHeight="false" outlineLevel="0" collapsed="false">
      <c r="N204" s="12" t="n">
        <f aca="false">N203+0.01</f>
        <v>2.02</v>
      </c>
      <c r="O204" s="9" t="n">
        <f aca="false">SUMPRODUCT($F$7:$F$26,LN(1-EXP(-N204*$E$7:$E$26)+0.000000000001))-N204*SUMPRODUCT($G$7:$G$26,$E$7:$E$26)</f>
        <v>-2.12955749346677</v>
      </c>
      <c r="P204" s="9" t="n">
        <f aca="false">-0.5*((LN(N204)-LN($B$3))/$B$4)^2-LN(N204)</f>
        <v>-2.01030627448399</v>
      </c>
      <c r="Q204" s="9" t="n">
        <f aca="false">O204+P204</f>
        <v>-4.13986376795076</v>
      </c>
      <c r="R204" s="11" t="n">
        <f aca="false">EXP(Q204-MAX($Q$7:$Q$506))</f>
        <v>0.483070246416807</v>
      </c>
      <c r="S204" s="11" t="n">
        <f aca="false">SUM($R$7:R204)/SUM($R$7:$R$506)</f>
        <v>0.806572607248139</v>
      </c>
    </row>
    <row r="205" customFormat="false" ht="15" hidden="false" customHeight="false" outlineLevel="0" collapsed="false">
      <c r="N205" s="12" t="n">
        <f aca="false">N204+0.01</f>
        <v>2.03</v>
      </c>
      <c r="O205" s="9" t="n">
        <f aca="false">SUMPRODUCT($F$7:$F$26,LN(1-EXP(-N205*$E$7:$E$26)+0.000000000001))-N205*SUMPRODUCT($G$7:$G$26,$E$7:$E$26)</f>
        <v>-2.12522307469442</v>
      </c>
      <c r="P205" s="9" t="n">
        <f aca="false">-0.5*((LN(N205)-LN($B$3))/$B$4)^2-LN(N205)</f>
        <v>-2.03126290310476</v>
      </c>
      <c r="Q205" s="9" t="n">
        <f aca="false">O205+P205</f>
        <v>-4.15648597779917</v>
      </c>
      <c r="R205" s="11" t="n">
        <f aca="false">EXP(Q205-MAX($Q$7:$Q$506))</f>
        <v>0.475106918813948</v>
      </c>
      <c r="S205" s="11" t="n">
        <f aca="false">SUM($R$7:R205)/SUM($R$7:$R$506)</f>
        <v>0.810295539723923</v>
      </c>
    </row>
    <row r="206" customFormat="false" ht="15" hidden="false" customHeight="false" outlineLevel="0" collapsed="false">
      <c r="N206" s="12" t="n">
        <f aca="false">N205+0.01</f>
        <v>2.04</v>
      </c>
      <c r="O206" s="9" t="n">
        <f aca="false">SUMPRODUCT($F$7:$F$26,LN(1-EXP(-N206*$E$7:$E$26)+0.000000000001))-N206*SUMPRODUCT($G$7:$G$26,$E$7:$E$26)</f>
        <v>-2.121001930023</v>
      </c>
      <c r="P206" s="9" t="n">
        <f aca="false">-0.5*((LN(N206)-LN($B$3))/$B$4)^2-LN(N206)</f>
        <v>-2.05221337899514</v>
      </c>
      <c r="Q206" s="9" t="n">
        <f aca="false">O206+P206</f>
        <v>-4.17321530901814</v>
      </c>
      <c r="R206" s="11" t="n">
        <f aca="false">EXP(Q206-MAX($Q$7:$Q$506))</f>
        <v>0.467224812815565</v>
      </c>
      <c r="S206" s="11" t="n">
        <f aca="false">SUM($R$7:R206)/SUM($R$7:$R$506)</f>
        <v>0.813956708105697</v>
      </c>
    </row>
    <row r="207" customFormat="false" ht="15" hidden="false" customHeight="false" outlineLevel="0" collapsed="false">
      <c r="N207" s="12" t="n">
        <f aca="false">N206+0.01</f>
        <v>2.05</v>
      </c>
      <c r="O207" s="9" t="n">
        <f aca="false">SUMPRODUCT($F$7:$F$26,LN(1-EXP(-N207*$E$7:$E$26)+0.000000000001))-N207*SUMPRODUCT($G$7:$G$26,$E$7:$E$26)</f>
        <v>-2.11689254894437</v>
      </c>
      <c r="P207" s="9" t="n">
        <f aca="false">-0.5*((LN(N207)-LN($B$3))/$B$4)^2-LN(N207)</f>
        <v>-2.07315728999396</v>
      </c>
      <c r="Q207" s="9" t="n">
        <f aca="false">O207+P207</f>
        <v>-4.19004983893833</v>
      </c>
      <c r="R207" s="11" t="n">
        <f aca="false">EXP(Q207-MAX($Q$7:$Q$506))</f>
        <v>0.45942513884948</v>
      </c>
      <c r="S207" s="11" t="n">
        <f aca="false">SUM($R$7:R207)/SUM($R$7:$R$506)</f>
        <v>0.817556758329938</v>
      </c>
    </row>
    <row r="208" customFormat="false" ht="15" hidden="false" customHeight="false" outlineLevel="0" collapsed="false">
      <c r="N208" s="12" t="n">
        <f aca="false">N207+0.01</f>
        <v>2.06</v>
      </c>
      <c r="O208" s="9" t="n">
        <f aca="false">SUMPRODUCT($F$7:$F$26,LN(1-EXP(-N208*$E$7:$E$26)+0.000000000001))-N208*SUMPRODUCT($G$7:$G$26,$E$7:$E$26)</f>
        <v>-2.11289344518444</v>
      </c>
      <c r="P208" s="9" t="n">
        <f aca="false">-0.5*((LN(N208)-LN($B$3))/$B$4)^2-LN(N208)</f>
        <v>-2.09409423454283</v>
      </c>
      <c r="Q208" s="9" t="n">
        <f aca="false">O208+P208</f>
        <v>-4.20698767972728</v>
      </c>
      <c r="R208" s="11" t="n">
        <f aca="false">EXP(Q208-MAX($Q$7:$Q$506))</f>
        <v>0.451709000824867</v>
      </c>
      <c r="S208" s="11" t="n">
        <f aca="false">SUM($R$7:R208)/SUM($R$7:$R$506)</f>
        <v>0.821096344983345</v>
      </c>
    </row>
    <row r="209" customFormat="false" ht="15" hidden="false" customHeight="false" outlineLevel="0" collapsed="false">
      <c r="N209" s="12" t="n">
        <f aca="false">N208+0.01</f>
        <v>2.07</v>
      </c>
      <c r="O209" s="9" t="n">
        <f aca="false">SUMPRODUCT($F$7:$F$26,LN(1-EXP(-N209*$E$7:$E$26)+0.000000000001))-N209*SUMPRODUCT($G$7:$G$26,$E$7:$E$26)</f>
        <v>-2.10900315622788</v>
      </c>
      <c r="P209" s="9" t="n">
        <f aca="false">-0.5*((LN(N209)-LN($B$3))/$B$4)^2-LN(N209)</f>
        <v>-2.11502382141433</v>
      </c>
      <c r="Q209" s="9" t="n">
        <f aca="false">O209+P209</f>
        <v>-4.22402697764221</v>
      </c>
      <c r="R209" s="11" t="n">
        <f aca="false">EXP(Q209-MAX($Q$7:$Q$506))</f>
        <v>0.44407739979493</v>
      </c>
      <c r="S209" s="11" t="n">
        <f aca="false">SUM($R$7:R209)/SUM($R$7:$R$506)</f>
        <v>0.824576130496858</v>
      </c>
    </row>
    <row r="210" customFormat="false" ht="15" hidden="false" customHeight="false" outlineLevel="0" collapsed="false">
      <c r="N210" s="12" t="n">
        <f aca="false">N209+0.01</f>
        <v>2.08</v>
      </c>
      <c r="O210" s="9" t="n">
        <f aca="false">SUMPRODUCT($F$7:$F$26,LN(1-EXP(-N210*$E$7:$E$26)+0.000000000001))-N210*SUMPRODUCT($G$7:$G$26,$E$7:$E$26)</f>
        <v>-2.10522024285405</v>
      </c>
      <c r="P210" s="9" t="n">
        <f aca="false">-0.5*((LN(N210)-LN($B$3))/$B$4)^2-LN(N210)</f>
        <v>-2.13594566944793</v>
      </c>
      <c r="Q210" s="9" t="n">
        <f aca="false">O210+P210</f>
        <v>-4.24116591230199</v>
      </c>
      <c r="R210" s="11" t="n">
        <f aca="false">EXP(Q210-MAX($Q$7:$Q$506))</f>
        <v>0.436531237565161</v>
      </c>
      <c r="S210" s="11" t="n">
        <f aca="false">SUM($R$7:R210)/SUM($R$7:$R$506)</f>
        <v>0.827996784367955</v>
      </c>
    </row>
    <row r="211" customFormat="false" ht="15" hidden="false" customHeight="false" outlineLevel="0" collapsed="false">
      <c r="N211" s="12" t="n">
        <f aca="false">N210+0.01</f>
        <v>2.09</v>
      </c>
      <c r="O211" s="9" t="n">
        <f aca="false">SUMPRODUCT($F$7:$F$26,LN(1-EXP(-N211*$E$7:$E$26)+0.000000000001))-N211*SUMPRODUCT($G$7:$G$26,$E$7:$E$26)</f>
        <v>-2.10154328868414</v>
      </c>
      <c r="P211" s="9" t="n">
        <f aca="false">-0.5*((LN(N211)-LN($B$3))/$B$4)^2-LN(N211)</f>
        <v>-2.15685940729365</v>
      </c>
      <c r="Q211" s="9" t="n">
        <f aca="false">O211+P211</f>
        <v>-4.2584026959778</v>
      </c>
      <c r="R211" s="11" t="n">
        <f aca="false">EXP(Q211-MAX($Q$7:$Q$506))</f>
        <v>0.429071320244443</v>
      </c>
      <c r="S211" s="11" t="n">
        <f aca="false">SUM($R$7:R211)/SUM($R$7:$R$506)</f>
        <v>0.831358982410773</v>
      </c>
    </row>
    <row r="212" customFormat="false" ht="15" hidden="false" customHeight="false" outlineLevel="0" collapsed="false">
      <c r="N212" s="12" t="n">
        <f aca="false">N211+0.01</f>
        <v>2.1</v>
      </c>
      <c r="O212" s="9" t="n">
        <f aca="false">SUMPRODUCT($F$7:$F$26,LN(1-EXP(-N212*$E$7:$E$26)+0.000000000001))-N212*SUMPRODUCT($G$7:$G$26,$E$7:$E$26)</f>
        <v>-2.09797089973894</v>
      </c>
      <c r="P212" s="9" t="n">
        <f aca="false">-0.5*((LN(N212)-LN($B$3))/$B$4)^2-LN(N212)</f>
        <v>-2.17776467316284</v>
      </c>
      <c r="Q212" s="9" t="n">
        <f aca="false">O212+P212</f>
        <v>-4.27573557290178</v>
      </c>
      <c r="R212" s="11" t="n">
        <f aca="false">EXP(Q212-MAX($Q$7:$Q$506))</f>
        <v>0.421698361736615</v>
      </c>
      <c r="S212" s="11" t="n">
        <f aca="false">SUM($R$7:R212)/SUM($R$7:$R$506)</f>
        <v>0.834663406033594</v>
      </c>
    </row>
    <row r="213" customFormat="false" ht="15" hidden="false" customHeight="false" outlineLevel="0" collapsed="false">
      <c r="N213" s="12" t="n">
        <f aca="false">N212+0.01</f>
        <v>2.11</v>
      </c>
      <c r="O213" s="9" t="n">
        <f aca="false">SUMPRODUCT($F$7:$F$26,LN(1-EXP(-N213*$E$7:$E$26)+0.000000000001))-N213*SUMPRODUCT($G$7:$G$26,$E$7:$E$26)</f>
        <v>-2.09450170400705</v>
      </c>
      <c r="P213" s="9" t="n">
        <f aca="false">-0.5*((LN(N213)-LN($B$3))/$B$4)^2-LN(N213)</f>
        <v>-2.19866111458622</v>
      </c>
      <c r="Q213" s="9" t="n">
        <f aca="false">O213+P213</f>
        <v>-4.29316281859327</v>
      </c>
      <c r="R213" s="11" t="n">
        <f aca="false">EXP(Q213-MAX($Q$7:$Q$506))</f>
        <v>0.414412987170346</v>
      </c>
      <c r="S213" s="11" t="n">
        <f aca="false">SUM($R$7:R213)/SUM($R$7:$R$506)</f>
        <v>0.837910741543199</v>
      </c>
    </row>
    <row r="214" customFormat="false" ht="15" hidden="false" customHeight="false" outlineLevel="0" collapsed="false">
      <c r="N214" s="12" t="n">
        <f aca="false">N213+0.01</f>
        <v>2.12</v>
      </c>
      <c r="O214" s="9" t="n">
        <f aca="false">SUMPRODUCT($F$7:$F$26,LN(1-EXP(-N214*$E$7:$E$26)+0.000000000001))-N214*SUMPRODUCT($G$7:$G$26,$E$7:$E$26)</f>
        <v>-2.09113435102331</v>
      </c>
      <c r="P214" s="9" t="n">
        <f aca="false">-0.5*((LN(N214)-LN($B$3))/$B$4)^2-LN(N214)</f>
        <v>-2.21954838817867</v>
      </c>
      <c r="Q214" s="9" t="n">
        <f aca="false">O214+P214</f>
        <v>-4.31068273920198</v>
      </c>
      <c r="R214" s="11" t="n">
        <f aca="false">EXP(Q214-MAX($Q$7:$Q$506))</f>
        <v>0.407215736265441</v>
      </c>
      <c r="S214" s="11" t="n">
        <f aca="false">SUM($R$7:R214)/SUM($R$7:$R$506)</f>
        <v>0.841101679475607</v>
      </c>
    </row>
    <row r="215" customFormat="false" ht="15" hidden="false" customHeight="false" outlineLevel="0" collapsed="false">
      <c r="N215" s="12" t="n">
        <f aca="false">N214+0.01</f>
        <v>2.13</v>
      </c>
      <c r="O215" s="9" t="n">
        <f aca="false">SUMPRODUCT($F$7:$F$26,LN(1-EXP(-N215*$E$7:$E$26)+0.000000000001))-N215*SUMPRODUCT($G$7:$G$26,$E$7:$E$26)</f>
        <v>-2.08786751145695</v>
      </c>
      <c r="P215" s="9" t="n">
        <f aca="false">-0.5*((LN(N215)-LN($B$3))/$B$4)^2-LN(N215)</f>
        <v>-2.24042615941074</v>
      </c>
      <c r="Q215" s="9" t="n">
        <f aca="false">O215+P215</f>
        <v>-4.32829367086769</v>
      </c>
      <c r="R215" s="11" t="n">
        <f aca="false">EXP(Q215-MAX($Q$7:$Q$506))</f>
        <v>0.400107066633952</v>
      </c>
      <c r="S215" s="11" t="n">
        <f aca="false">SUM($R$7:R215)/SUM($R$7:$R$506)</f>
        <v>0.844236913952683</v>
      </c>
    </row>
    <row r="216" customFormat="false" ht="15" hidden="false" customHeight="false" outlineLevel="0" collapsed="false">
      <c r="N216" s="12" t="n">
        <f aca="false">N215+0.01</f>
        <v>2.14</v>
      </c>
      <c r="O216" s="9" t="n">
        <f aca="false">SUMPRODUCT($F$7:$F$26,LN(1-EXP(-N216*$E$7:$E$26)+0.000000000001))-N216*SUMPRODUCT($G$7:$G$26,$E$7:$E$26)</f>
        <v>-2.08469987670945</v>
      </c>
      <c r="P216" s="9" t="n">
        <f aca="false">-0.5*((LN(N216)-LN($B$3))/$B$4)^2-LN(N216)</f>
        <v>-2.26129410238653</v>
      </c>
      <c r="Q216" s="9" t="n">
        <f aca="false">O216+P216</f>
        <v>-4.34599397909597</v>
      </c>
      <c r="R216" s="11" t="n">
        <f aca="false">EXP(Q216-MAX($Q$7:$Q$506))</f>
        <v>0.393087357014681</v>
      </c>
      <c r="S216" s="11" t="n">
        <f aca="false">SUM($R$7:R216)/SUM($R$7:$R$506)</f>
        <v>0.847317142064081</v>
      </c>
    </row>
    <row r="217" customFormat="false" ht="15" hidden="false" customHeight="false" outlineLevel="0" collapsed="false">
      <c r="N217" s="12" t="n">
        <f aca="false">N216+0.01</f>
        <v>2.15</v>
      </c>
      <c r="O217" s="9" t="n">
        <f aca="false">SUMPRODUCT($F$7:$F$26,LN(1-EXP(-N217*$E$7:$E$26)+0.000000000001))-N217*SUMPRODUCT($G$7:$G$26,$E$7:$E$26)</f>
        <v>-2.08163015852158</v>
      </c>
      <c r="P217" s="9" t="n">
        <f aca="false">-0.5*((LN(N217)-LN($B$3))/$B$4)^2-LN(N217)</f>
        <v>-2.28215189962779</v>
      </c>
      <c r="Q217" s="9" t="n">
        <f aca="false">O217+P217</f>
        <v>-4.36378205814937</v>
      </c>
      <c r="R217" s="11" t="n">
        <f aca="false">EXP(Q217-MAX($Q$7:$Q$506))</f>
        <v>0.386156910439897</v>
      </c>
      <c r="S217" s="11" t="n">
        <f aca="false">SUM($R$7:R217)/SUM($R$7:$R$506)</f>
        <v>0.850343063274014</v>
      </c>
    </row>
    <row r="218" customFormat="false" ht="15" hidden="false" customHeight="false" outlineLevel="0" collapsed="false">
      <c r="N218" s="12" t="n">
        <f aca="false">N217+0.01</f>
        <v>2.16</v>
      </c>
      <c r="O218" s="9" t="n">
        <f aca="false">SUMPRODUCT($F$7:$F$26,LN(1-EXP(-N218*$E$7:$E$26)+0.000000000001))-N218*SUMPRODUCT($G$7:$G$26,$E$7:$E$26)</f>
        <v>-2.07865708858962</v>
      </c>
      <c r="P218" s="9" t="n">
        <f aca="false">-0.5*((LN(N218)-LN($B$3))/$B$4)^2-LN(N218)</f>
        <v>-2.30299924186413</v>
      </c>
      <c r="Q218" s="9" t="n">
        <f aca="false">O218+P218</f>
        <v>-4.38165633045376</v>
      </c>
      <c r="R218" s="11" t="n">
        <f aca="false">EXP(Q218-MAX($Q$7:$Q$506))</f>
        <v>0.379315957333282</v>
      </c>
      <c r="S218" s="11" t="n">
        <f aca="false">SUM($R$7:R218)/SUM($R$7:$R$506)</f>
        <v>0.853315378852295</v>
      </c>
    </row>
    <row r="219" customFormat="false" ht="15" hidden="false" customHeight="false" outlineLevel="0" collapsed="false">
      <c r="N219" s="12" t="n">
        <f aca="false">N218+0.01</f>
        <v>2.17</v>
      </c>
      <c r="O219" s="9" t="n">
        <f aca="false">SUMPRODUCT($F$7:$F$26,LN(1-EXP(-N219*$E$7:$E$26)+0.000000000001))-N219*SUMPRODUCT($G$7:$G$26,$E$7:$E$26)</f>
        <v>-2.07577941819031</v>
      </c>
      <c r="P219" s="9" t="n">
        <f aca="false">-0.5*((LN(N219)-LN($B$3))/$B$4)^2-LN(N219)</f>
        <v>-2.32383582782894</v>
      </c>
      <c r="Q219" s="9" t="n">
        <f aca="false">O219+P219</f>
        <v>-4.39961524601925</v>
      </c>
      <c r="R219" s="11" t="n">
        <f aca="false">EXP(Q219-MAX($Q$7:$Q$506))</f>
        <v>0.37256465853832</v>
      </c>
      <c r="S219" s="11" t="n">
        <f aca="false">SUM($R$7:R219)/SUM($R$7:$R$506)</f>
        <v>0.8562347913291</v>
      </c>
    </row>
    <row r="220" customFormat="false" ht="15" hidden="false" customHeight="false" outlineLevel="0" collapsed="false">
      <c r="N220" s="12" t="n">
        <f aca="false">N219+0.01</f>
        <v>2.18</v>
      </c>
      <c r="O220" s="9" t="n">
        <f aca="false">SUMPRODUCT($F$7:$F$26,LN(1-EXP(-N220*$E$7:$E$26)+0.000000000001))-N220*SUMPRODUCT($G$7:$G$26,$E$7:$E$26)</f>
        <v>-2.07299591781433</v>
      </c>
      <c r="P220" s="9" t="n">
        <f aca="false">-0.5*((LN(N220)-LN($B$3))/$B$4)^2-LN(N220)</f>
        <v>-2.34466136406104</v>
      </c>
      <c r="Q220" s="9" t="n">
        <f aca="false">O220+P220</f>
        <v>-4.41765728187537</v>
      </c>
      <c r="R220" s="11" t="n">
        <f aca="false">EXP(Q220-MAX($Q$7:$Q$506))</f>
        <v>0.365903108276518</v>
      </c>
      <c r="S220" s="11" t="n">
        <f aca="false">SUM($R$7:R220)/SUM($R$7:$R$506)</f>
        <v>0.859102003972927</v>
      </c>
    </row>
    <row r="221" customFormat="false" ht="15" hidden="false" customHeight="false" outlineLevel="0" collapsed="false">
      <c r="N221" s="12" t="n">
        <f aca="false">N220+0.01</f>
        <v>2.19</v>
      </c>
      <c r="O221" s="9" t="n">
        <f aca="false">SUMPRODUCT($F$7:$F$26,LN(1-EXP(-N221*$E$7:$E$26)+0.000000000001))-N221*SUMPRODUCT($G$7:$G$26,$E$7:$E$26)</f>
        <v>-2.0703053768082</v>
      </c>
      <c r="P221" s="9" t="n">
        <f aca="false">-0.5*((LN(N221)-LN($B$3))/$B$4)^2-LN(N221)</f>
        <v>-2.36547556471181</v>
      </c>
      <c r="Q221" s="9" t="n">
        <f aca="false">O221+P221</f>
        <v>-4.43578094152001</v>
      </c>
      <c r="R221" s="11" t="n">
        <f aca="false">EXP(Q221-MAX($Q$7:$Q$506))</f>
        <v>0.359331337035022</v>
      </c>
      <c r="S221" s="11" t="n">
        <f aca="false">SUM($R$7:R221)/SUM($R$7:$R$506)</f>
        <v>0.861917720291171</v>
      </c>
    </row>
    <row r="222" customFormat="false" ht="15" hidden="false" customHeight="false" outlineLevel="0" collapsed="false">
      <c r="N222" s="12" t="n">
        <f aca="false">N221+0.01</f>
        <v>2.2</v>
      </c>
      <c r="O222" s="9" t="n">
        <f aca="false">SUMPRODUCT($F$7:$F$26,LN(1-EXP(-N222*$E$7:$E$26)+0.000000000001))-N222*SUMPRODUCT($G$7:$G$26,$E$7:$E$26)</f>
        <v>-2.06770660302422</v>
      </c>
      <c r="P222" s="9" t="n">
        <f aca="false">-0.5*((LN(N222)-LN($B$3))/$B$4)^2-LN(N222)</f>
        <v>-2.38627815135757</v>
      </c>
      <c r="Q222" s="9" t="n">
        <f aca="false">O222+P222</f>
        <v>-4.45398475438179</v>
      </c>
      <c r="R222" s="11" t="n">
        <f aca="false">EXP(Q222-MAX($Q$7:$Q$506))</f>
        <v>0.352849314383341</v>
      </c>
      <c r="S222" s="11" t="n">
        <f aca="false">SUM($R$7:R222)/SUM($R$7:$R$506)</f>
        <v>0.864682643552771</v>
      </c>
    </row>
    <row r="223" customFormat="false" ht="15" hidden="false" customHeight="false" outlineLevel="0" collapsed="false">
      <c r="N223" s="12" t="n">
        <f aca="false">N222+0.01</f>
        <v>2.21</v>
      </c>
      <c r="O223" s="9" t="n">
        <f aca="false">SUMPRODUCT($F$7:$F$26,LN(1-EXP(-N223*$E$7:$E$26)+0.000000000001))-N223*SUMPRODUCT($G$7:$G$26,$E$7:$E$26)</f>
        <v>-2.0651984224783</v>
      </c>
      <c r="P223" s="9" t="n">
        <f aca="false">-0.5*((LN(N223)-LN($B$3))/$B$4)^2-LN(N223)</f>
        <v>-2.40706885281715</v>
      </c>
      <c r="Q223" s="9" t="n">
        <f aca="false">O223+P223</f>
        <v>-4.47226727529545</v>
      </c>
      <c r="R223" s="11" t="n">
        <f aca="false">EXP(Q223-MAX($Q$7:$Q$506))</f>
        <v>0.346456951719055</v>
      </c>
      <c r="S223" s="11" t="n">
        <f aca="false">SUM($R$7:R223)/SUM($R$7:$R$506)</f>
        <v>0.867397476332383</v>
      </c>
    </row>
    <row r="224" customFormat="false" ht="15" hidden="false" customHeight="false" outlineLevel="0" collapsed="false">
      <c r="N224" s="12" t="n">
        <f aca="false">N223+0.01</f>
        <v>2.22</v>
      </c>
      <c r="O224" s="9" t="n">
        <f aca="false">SUMPRODUCT($F$7:$F$26,LN(1-EXP(-N224*$E$7:$E$26)+0.000000000001))-N224*SUMPRODUCT($G$7:$G$26,$E$7:$E$26)</f>
        <v>-2.06277967901544</v>
      </c>
      <c r="P224" s="9" t="n">
        <f aca="false">-0.5*((LN(N224)-LN($B$3))/$B$4)^2-LN(N224)</f>
        <v>-2.42784740497441</v>
      </c>
      <c r="Q224" s="9" t="n">
        <f aca="false">O224+P224</f>
        <v>-4.49062708398985</v>
      </c>
      <c r="R224" s="11" t="n">
        <f aca="false">EXP(Q224-MAX($Q$7:$Q$506))</f>
        <v>0.340154104942494</v>
      </c>
      <c r="S224" s="11" t="n">
        <f aca="false">SUM($R$7:R224)/SUM($R$7:$R$506)</f>
        <v>0.870062920075495</v>
      </c>
    </row>
    <row r="225" customFormat="false" ht="15" hidden="false" customHeight="false" outlineLevel="0" collapsed="false">
      <c r="N225" s="12" t="n">
        <f aca="false">N224+0.01</f>
        <v>2.23</v>
      </c>
      <c r="O225" s="9" t="n">
        <f aca="false">SUMPRODUCT($F$7:$F$26,LN(1-EXP(-N225*$E$7:$E$26)+0.000000000001))-N225*SUMPRODUCT($G$7:$G$26,$E$7:$E$26)</f>
        <v>-2.06044923398278</v>
      </c>
      <c r="P225" s="9" t="n">
        <f aca="false">-0.5*((LN(N225)-LN($B$3))/$B$4)^2-LN(N225)</f>
        <v>-2.44861355060559</v>
      </c>
      <c r="Q225" s="9" t="n">
        <f aca="false">O225+P225</f>
        <v>-4.50906278458836</v>
      </c>
      <c r="R225" s="11" t="n">
        <f aca="false">EXP(Q225-MAX($Q$7:$Q$506))</f>
        <v>0.33394057706053</v>
      </c>
      <c r="S225" s="11" t="n">
        <f aca="false">SUM($R$7:R225)/SUM($R$7:$R$506)</f>
        <v>0.872679674683962</v>
      </c>
    </row>
    <row r="226" customFormat="false" ht="15" hidden="false" customHeight="false" outlineLevel="0" collapsed="false">
      <c r="N226" s="12" t="n">
        <f aca="false">N225+0.01</f>
        <v>2.24</v>
      </c>
      <c r="O226" s="9" t="n">
        <f aca="false">SUMPRODUCT($F$7:$F$26,LN(1-EXP(-N226*$E$7:$E$26)+0.000000000001))-N226*SUMPRODUCT($G$7:$G$26,$E$7:$E$26)</f>
        <v>-2.05820596590974</v>
      </c>
      <c r="P226" s="9" t="n">
        <f aca="false">-0.5*((LN(N226)-LN($B$3))/$B$4)^2-LN(N226)</f>
        <v>-2.46936703921133</v>
      </c>
      <c r="Q226" s="9" t="n">
        <f aca="false">O226+P226</f>
        <v>-4.52757300512107</v>
      </c>
      <c r="R226" s="11" t="n">
        <f aca="false">EXP(Q226-MAX($Q$7:$Q$506))</f>
        <v>0.327816120719732</v>
      </c>
      <c r="S226" s="11" t="n">
        <f aca="false">SUM($R$7:R226)/SUM($R$7:$R$506)</f>
        <v>0.875248438121379</v>
      </c>
    </row>
    <row r="227" customFormat="false" ht="15" hidden="false" customHeight="false" outlineLevel="0" collapsed="false">
      <c r="N227" s="12" t="n">
        <f aca="false">N226+0.01</f>
        <v>2.25</v>
      </c>
      <c r="O227" s="9" t="n">
        <f aca="false">SUMPRODUCT($F$7:$F$26,LN(1-EXP(-N227*$E$7:$E$26)+0.000000000001))-N227*SUMPRODUCT($G$7:$G$26,$E$7:$E$26)</f>
        <v>-2.05604877019539</v>
      </c>
      <c r="P227" s="9" t="n">
        <f aca="false">-0.5*((LN(N227)-LN($B$3))/$B$4)^2-LN(N227)</f>
        <v>-2.49010762685327</v>
      </c>
      <c r="Q227" s="9" t="n">
        <f aca="false">O227+P227</f>
        <v>-4.54615639704866</v>
      </c>
      <c r="R227" s="11" t="n">
        <f aca="false">EXP(Q227-MAX($Q$7:$Q$506))</f>
        <v>0.321780440669225</v>
      </c>
      <c r="S227" s="11" t="n">
        <f aca="false">SUM($R$7:R227)/SUM($R$7:$R$506)</f>
        <v>0.877769906037759</v>
      </c>
    </row>
    <row r="228" customFormat="false" ht="15" hidden="false" customHeight="false" outlineLevel="0" collapsed="false">
      <c r="N228" s="12" t="n">
        <f aca="false">N227+0.01</f>
        <v>2.26</v>
      </c>
      <c r="O228" s="9" t="n">
        <f aca="false">SUMPRODUCT($F$7:$F$26,LN(1-EXP(-N228*$E$7:$E$26)+0.000000000001))-N228*SUMPRODUCT($G$7:$G$26,$E$7:$E$26)</f>
        <v>-2.05397655880265</v>
      </c>
      <c r="P228" s="9" t="n">
        <f aca="false">-0.5*((LN(N228)-LN($B$3))/$B$4)^2-LN(N228)</f>
        <v>-2.51083507599497</v>
      </c>
      <c r="Q228" s="9" t="n">
        <f aca="false">O228+P228</f>
        <v>-4.56481163479762</v>
      </c>
      <c r="R228" s="11" t="n">
        <f aca="false">EXP(Q228-MAX($Q$7:$Q$506))</f>
        <v>0.315833196153732</v>
      </c>
      <c r="S228" s="11" t="n">
        <f aca="false">SUM($R$7:R228)/SUM($R$7:$R$506)</f>
        <v>0.880244771412962</v>
      </c>
    </row>
    <row r="229" customFormat="false" ht="15" hidden="false" customHeight="false" outlineLevel="0" collapsed="false">
      <c r="N229" s="12" t="n">
        <f aca="false">N228+0.01</f>
        <v>2.27</v>
      </c>
      <c r="O229" s="9" t="n">
        <f aca="false">SUMPRODUCT($F$7:$F$26,LN(1-EXP(-N229*$E$7:$E$26)+0.000000000001))-N229*SUMPRODUCT($G$7:$G$26,$E$7:$E$26)</f>
        <v>-2.05198825995913</v>
      </c>
      <c r="P229" s="9" t="n">
        <f aca="false">-0.5*((LN(N229)-LN($B$3))/$B$4)^2-LN(N229)</f>
        <v>-2.53154915534716</v>
      </c>
      <c r="Q229" s="9" t="n">
        <f aca="false">O229+P229</f>
        <v>-4.58353741530628</v>
      </c>
      <c r="R229" s="11" t="n">
        <f aca="false">EXP(Q229-MAX($Q$7:$Q$506))</f>
        <v>0.309974003237331</v>
      </c>
      <c r="S229" s="11" t="n">
        <f aca="false">SUM($R$7:R229)/SUM($R$7:$R$506)</f>
        <v>0.882673724218326</v>
      </c>
    </row>
    <row r="230" customFormat="false" ht="15" hidden="false" customHeight="false" outlineLevel="0" collapsed="false">
      <c r="N230" s="12" t="n">
        <f aca="false">N229+0.01</f>
        <v>2.28</v>
      </c>
      <c r="O230" s="9" t="n">
        <f aca="false">SUMPRODUCT($F$7:$F$26,LN(1-EXP(-N230*$E$7:$E$26)+0.000000000001))-N230*SUMPRODUCT($G$7:$G$26,$E$7:$E$26)</f>
        <v>-2.05008281786463</v>
      </c>
      <c r="P230" s="9" t="n">
        <f aca="false">-0.5*((LN(N230)-LN($B$3))/$B$4)^2-LN(N230)</f>
        <v>-2.55224963971707</v>
      </c>
      <c r="Q230" s="9" t="n">
        <f aca="false">O230+P230</f>
        <v>-4.6023324575817</v>
      </c>
      <c r="R230" s="11" t="n">
        <f aca="false">EXP(Q230-MAX($Q$7:$Q$506))</f>
        <v>0.304202437058584</v>
      </c>
      <c r="S230" s="11" t="n">
        <f aca="false">SUM($R$7:R230)/SUM($R$7:$R$506)</f>
        <v>0.885057451095984</v>
      </c>
    </row>
    <row r="231" customFormat="false" ht="15" hidden="false" customHeight="false" outlineLevel="0" collapsed="false">
      <c r="N231" s="12" t="n">
        <f aca="false">N230+0.01</f>
        <v>2.29</v>
      </c>
      <c r="O231" s="9" t="n">
        <f aca="false">SUMPRODUCT($F$7:$F$26,LN(1-EXP(-N231*$E$7:$E$26)+0.000000000001))-N231*SUMPRODUCT($G$7:$G$26,$E$7:$E$26)</f>
        <v>-2.04825919240491</v>
      </c>
      <c r="P231" s="9" t="n">
        <f aca="false">-0.5*((LN(N231)-LN($B$3))/$B$4)^2-LN(N231)</f>
        <v>-2.57293630986183</v>
      </c>
      <c r="Q231" s="9" t="n">
        <f aca="false">O231+P231</f>
        <v>-4.62119550226674</v>
      </c>
      <c r="R231" s="11" t="n">
        <f aca="false">EXP(Q231-MAX($Q$7:$Q$506))</f>
        <v>0.298518034017731</v>
      </c>
      <c r="S231" s="11" t="n">
        <f aca="false">SUM($R$7:R231)/SUM($R$7:$R$506)</f>
        <v>0.887396635055306</v>
      </c>
    </row>
    <row r="232" customFormat="false" ht="15" hidden="false" customHeight="false" outlineLevel="0" collapsed="false">
      <c r="N232" s="12" t="n">
        <f aca="false">N231+0.01</f>
        <v>2.3</v>
      </c>
      <c r="O232" s="9" t="n">
        <f aca="false">SUMPRODUCT($F$7:$F$26,LN(1-EXP(-N232*$E$7:$E$26)+0.000000000001))-N232*SUMPRODUCT($G$7:$G$26,$E$7:$E$26)</f>
        <v>-2.04651635887163</v>
      </c>
      <c r="P232" s="9" t="n">
        <f aca="false">-0.5*((LN(N232)-LN($B$3))/$B$4)^2-LN(N232)</f>
        <v>-2.59360895234571</v>
      </c>
      <c r="Q232" s="9" t="n">
        <f aca="false">O232+P232</f>
        <v>-4.64012531121734</v>
      </c>
      <c r="R232" s="11" t="n">
        <f aca="false">EXP(Q232-MAX($Q$7:$Q$506))</f>
        <v>0.292920293896753</v>
      </c>
      <c r="S232" s="11" t="n">
        <f aca="false">SUM($R$7:R232)/SUM($R$7:$R$506)</f>
        <v>0.889691955185955</v>
      </c>
    </row>
    <row r="233" customFormat="false" ht="15" hidden="false" customHeight="false" outlineLevel="0" collapsed="false">
      <c r="N233" s="12" t="n">
        <f aca="false">N232+0.01</f>
        <v>2.30999999999999</v>
      </c>
      <c r="O233" s="9" t="n">
        <f aca="false">SUMPRODUCT($F$7:$F$26,LN(1-EXP(-N233*$E$7:$E$26)+0.000000000001))-N233*SUMPRODUCT($G$7:$G$26,$E$7:$E$26)</f>
        <v>-2.04485330768844</v>
      </c>
      <c r="P233" s="9" t="n">
        <f aca="false">-0.5*((LN(N233)-LN($B$3))/$B$4)^2-LN(N233)</f>
        <v>-2.61426735940112</v>
      </c>
      <c r="Q233" s="9" t="n">
        <f aca="false">O233+P233</f>
        <v>-4.65912066708956</v>
      </c>
      <c r="R233" s="11" t="n">
        <f aca="false">EXP(Q233-MAX($Q$7:$Q$506))</f>
        <v>0.287408681913137</v>
      </c>
      <c r="S233" s="11" t="n">
        <f aca="false">SUM($R$7:R233)/SUM($R$7:$R$506)</f>
        <v>0.89194408638705</v>
      </c>
    </row>
    <row r="234" customFormat="false" ht="15" hidden="false" customHeight="false" outlineLevel="0" collapsed="false">
      <c r="N234" s="12" t="n">
        <f aca="false">N233+0.01</f>
        <v>2.31999999999999</v>
      </c>
      <c r="O234" s="9" t="n">
        <f aca="false">SUMPRODUCT($F$7:$F$26,LN(1-EXP(-N234*$E$7:$E$26)+0.000000000001))-N234*SUMPRODUCT($G$7:$G$26,$E$7:$E$26)</f>
        <v>-2.0432690441428</v>
      </c>
      <c r="P234" s="9" t="n">
        <f aca="false">-0.5*((LN(N234)-LN($B$3))/$B$4)^2-LN(N234)</f>
        <v>-2.63491132879334</v>
      </c>
      <c r="Q234" s="9" t="n">
        <f aca="false">O234+P234</f>
        <v>-4.67818037293614</v>
      </c>
      <c r="R234" s="11" t="n">
        <f aca="false">EXP(Q234-MAX($Q$7:$Q$506))</f>
        <v>0.281982630708276</v>
      </c>
      <c r="S234" s="11" t="n">
        <f aca="false">SUM($R$7:R234)/SUM($R$7:$R$506)</f>
        <v>0.894153699111891</v>
      </c>
    </row>
    <row r="235" customFormat="false" ht="15" hidden="false" customHeight="false" outlineLevel="0" collapsed="false">
      <c r="N235" s="12" t="n">
        <f aca="false">N234+0.01</f>
        <v>2.32999999999999</v>
      </c>
      <c r="O235" s="9" t="n">
        <f aca="false">SUMPRODUCT($F$7:$F$26,LN(1-EXP(-N235*$E$7:$E$26)+0.000000000001))-N235*SUMPRODUCT($G$7:$G$26,$E$7:$E$26)</f>
        <v>-2.04176258812367</v>
      </c>
      <c r="P235" s="9" t="n">
        <f aca="false">-0.5*((LN(N235)-LN($B$3))/$B$4)^2-LN(N235)</f>
        <v>-2.65554066368873</v>
      </c>
      <c r="Q235" s="9" t="n">
        <f aca="false">O235+P235</f>
        <v>-4.6973032518124</v>
      </c>
      <c r="R235" s="11" t="n">
        <f aca="false">EXP(Q235-MAX($Q$7:$Q$506))</f>
        <v>0.276641542271431</v>
      </c>
      <c r="S235" s="11" t="n">
        <f aca="false">SUM($R$7:R235)/SUM($R$7:$R$506)</f>
        <v>0.896321459127772</v>
      </c>
    </row>
    <row r="236" customFormat="false" ht="15" hidden="false" customHeight="false" outlineLevel="0" collapsed="false">
      <c r="N236" s="12" t="n">
        <f aca="false">N235+0.01</f>
        <v>2.33999999999999</v>
      </c>
      <c r="O236" s="9" t="n">
        <f aca="false">SUMPRODUCT($F$7:$F$26,LN(1-EXP(-N236*$E$7:$E$26)+0.000000000001))-N236*SUMPRODUCT($G$7:$G$26,$E$7:$E$26)</f>
        <v>-2.04033297386469</v>
      </c>
      <c r="P236" s="9" t="n">
        <f aca="false">-0.5*((LN(N236)-LN($B$3))/$B$4)^2-LN(N236)</f>
        <v>-2.67615517252644</v>
      </c>
      <c r="Q236" s="9" t="n">
        <f aca="false">O236+P236</f>
        <v>-4.71648814639112</v>
      </c>
      <c r="R236" s="11" t="n">
        <f aca="false">EXP(Q236-MAX($Q$7:$Q$506))</f>
        <v>0.271384789800301</v>
      </c>
      <c r="S236" s="11" t="n">
        <f aca="false">SUM($R$7:R236)/SUM($R$7:$R$506)</f>
        <v>0.898448027290374</v>
      </c>
    </row>
    <row r="237" customFormat="false" ht="15" hidden="false" customHeight="false" outlineLevel="0" collapsed="false">
      <c r="N237" s="12" t="n">
        <f aca="false">N236+0.01</f>
        <v>2.34999999999999</v>
      </c>
      <c r="O237" s="9" t="n">
        <f aca="false">SUMPRODUCT($F$7:$F$26,LN(1-EXP(-N237*$E$7:$E$26)+0.000000000001))-N237*SUMPRODUCT($G$7:$G$26,$E$7:$E$26)</f>
        <v>-2.03897924969281</v>
      </c>
      <c r="P237" s="9" t="n">
        <f aca="false">-0.5*((LN(N237)-LN($B$3))/$B$4)^2-LN(N237)</f>
        <v>-2.6967546688934</v>
      </c>
      <c r="Q237" s="9" t="n">
        <f aca="false">O237+P237</f>
        <v>-4.73573391858621</v>
      </c>
      <c r="R237" s="11" t="n">
        <f aca="false">EXP(Q237-MAX($Q$7:$Q$506))</f>
        <v>0.266211719499218</v>
      </c>
      <c r="S237" s="11" t="n">
        <f aca="false">SUM($R$7:R237)/SUM($R$7:$R$506)</f>
        <v>0.90053405933224</v>
      </c>
    </row>
    <row r="238" customFormat="false" ht="15" hidden="false" customHeight="false" outlineLevel="0" collapsed="false">
      <c r="N238" s="12" t="n">
        <f aca="false">N237+0.01</f>
        <v>2.35999999999999</v>
      </c>
      <c r="O238" s="9" t="n">
        <f aca="false">SUMPRODUCT($F$7:$F$26,LN(1-EXP(-N238*$E$7:$E$26)+0.000000000001))-N238*SUMPRODUCT($G$7:$G$26,$E$7:$E$26)</f>
        <v>-2.03770047778227</v>
      </c>
      <c r="P238" s="9" t="n">
        <f aca="false">-0.5*((LN(N238)-LN($B$3))/$B$4)^2-LN(N238)</f>
        <v>-2.71733897140265</v>
      </c>
      <c r="Q238" s="9" t="n">
        <f aca="false">O238+P238</f>
        <v>-4.75503944918492</v>
      </c>
      <c r="R238" s="11" t="n">
        <f aca="false">EXP(Q238-MAX($Q$7:$Q$506))</f>
        <v>0.261121652316078</v>
      </c>
      <c r="S238" s="11" t="n">
        <f aca="false">SUM($R$7:R238)/SUM($R$7:$R$506)</f>
        <v>0.902580205664869</v>
      </c>
    </row>
    <row r="239" customFormat="false" ht="15" hidden="false" customHeight="false" outlineLevel="0" collapsed="false">
      <c r="N239" s="12" t="n">
        <f aca="false">N238+0.01</f>
        <v>2.36999999999999</v>
      </c>
      <c r="O239" s="9" t="n">
        <f aca="false">SUMPRODUCT($F$7:$F$26,LN(1-EXP(-N239*$E$7:$E$26)+0.000000000001))-N239*SUMPRODUCT($G$7:$G$26,$E$7:$E$26)</f>
        <v>-2.03649573391372</v>
      </c>
      <c r="P239" s="9" t="n">
        <f aca="false">-0.5*((LN(N239)-LN($B$3))/$B$4)^2-LN(N239)</f>
        <v>-2.73790790357472</v>
      </c>
      <c r="Q239" s="9" t="n">
        <f aca="false">O239+P239</f>
        <v>-4.77440363748844</v>
      </c>
      <c r="R239" s="11" t="n">
        <f aca="false">EXP(Q239-MAX($Q$7:$Q$506))</f>
        <v>0.256113885619112</v>
      </c>
      <c r="S239" s="11" t="n">
        <f aca="false">SUM($R$7:R239)/SUM($R$7:$R$506)</f>
        <v>0.904587111193947</v>
      </c>
    </row>
    <row r="240" customFormat="false" ht="15" hidden="false" customHeight="false" outlineLevel="0" collapsed="false">
      <c r="N240" s="12" t="n">
        <f aca="false">N239+0.01</f>
        <v>2.37999999999999</v>
      </c>
      <c r="O240" s="9" t="n">
        <f aca="false">SUMPRODUCT($F$7:$F$26,LN(1-EXP(-N240*$E$7:$E$26)+0.000000000001))-N240*SUMPRODUCT($G$7:$G$26,$E$7:$E$26)</f>
        <v>-2.03536410723836</v>
      </c>
      <c r="P240" s="9" t="n">
        <f aca="false">-0.5*((LN(N240)-LN($B$3))/$B$4)^2-LN(N240)</f>
        <v>-2.75846129372215</v>
      </c>
      <c r="Q240" s="9" t="n">
        <f aca="false">O240+P240</f>
        <v>-4.79382540096052</v>
      </c>
      <c r="R240" s="11" t="n">
        <f aca="false">EXP(Q240-MAX($Q$7:$Q$506))</f>
        <v>0.251187694814648</v>
      </c>
      <c r="S240" s="11" t="n">
        <f aca="false">SUM($R$7:R240)/SUM($R$7:$R$506)</f>
        <v>0.90655541514725</v>
      </c>
    </row>
    <row r="241" customFormat="false" ht="15" hidden="false" customHeight="false" outlineLevel="0" collapsed="false">
      <c r="N241" s="12" t="n">
        <f aca="false">N240+0.01</f>
        <v>2.38999999999999</v>
      </c>
      <c r="O241" s="9" t="n">
        <f aca="false">SUMPRODUCT($F$7:$F$26,LN(1-EXP(-N241*$E$7:$E$26)+0.000000000001))-N241*SUMPRODUCT($G$7:$G$26,$E$7:$E$26)</f>
        <v>-2.03430470004704</v>
      </c>
      <c r="P241" s="9" t="n">
        <f aca="false">-0.5*((LN(N241)-LN($B$3))/$B$4)^2-LN(N241)</f>
        <v>-2.77899897483696</v>
      </c>
      <c r="Q241" s="9" t="n">
        <f aca="false">O241+P241</f>
        <v>-4.813303674884</v>
      </c>
      <c r="R241" s="11" t="n">
        <f aca="false">EXP(Q241-MAX($Q$7:$Q$506))</f>
        <v>0.246342334907043</v>
      </c>
      <c r="S241" s="11" t="n">
        <f aca="false">SUM($R$7:R241)/SUM($R$7:$R$506)</f>
        <v>0.908485750914777</v>
      </c>
    </row>
    <row r="242" customFormat="false" ht="15" hidden="false" customHeight="false" outlineLevel="0" collapsed="false">
      <c r="N242" s="12" t="n">
        <f aca="false">N241+0.01</f>
        <v>2.39999999999999</v>
      </c>
      <c r="O242" s="9" t="n">
        <f aca="false">SUMPRODUCT($F$7:$F$26,LN(1-EXP(-N242*$E$7:$E$26)+0.000000000001))-N242*SUMPRODUCT($G$7:$G$26,$E$7:$E$26)</f>
        <v>-2.03331662754409</v>
      </c>
      <c r="P242" s="9" t="n">
        <f aca="false">-0.5*((LN(N242)-LN($B$3))/$B$4)^2-LN(N242)</f>
        <v>-2.79952078448097</v>
      </c>
      <c r="Q242" s="9" t="n">
        <f aca="false">O242+P242</f>
        <v>-4.83283741202506</v>
      </c>
      <c r="R242" s="11" t="n">
        <f aca="false">EXP(Q242-MAX($Q$7:$Q$506))</f>
        <v>0.241577042001959</v>
      </c>
      <c r="S242" s="11" t="n">
        <f aca="false">SUM($R$7:R242)/SUM($R$7:$R$506)</f>
        <v>0.910378745900659</v>
      </c>
    </row>
    <row r="243" customFormat="false" ht="15" hidden="false" customHeight="false" outlineLevel="0" collapsed="false">
      <c r="N243" s="12" t="n">
        <f aca="false">N242+0.01</f>
        <v>2.40999999999999</v>
      </c>
      <c r="O243" s="9" t="n">
        <f aca="false">SUMPRODUCT($F$7:$F$26,LN(1-EXP(-N243*$E$7:$E$26)+0.000000000001))-N243*SUMPRODUCT($G$7:$G$26,$E$7:$E$26)</f>
        <v>-2.03239901762593</v>
      </c>
      <c r="P243" s="9" t="n">
        <f aca="false">-0.5*((LN(N243)-LN($B$3))/$B$4)^2-LN(N243)</f>
        <v>-2.82002656467894</v>
      </c>
      <c r="Q243" s="9" t="n">
        <f aca="false">O243+P243</f>
        <v>-4.85242558230487</v>
      </c>
      <c r="R243" s="11" t="n">
        <f aca="false">EXP(Q243-MAX($Q$7:$Q$506))</f>
        <v>0.236891034754207</v>
      </c>
      <c r="S243" s="11" t="n">
        <f aca="false">SUM($R$7:R243)/SUM($R$7:$R$506)</f>
        <v>0.912235021386418</v>
      </c>
    </row>
    <row r="244" customFormat="false" ht="15" hidden="false" customHeight="false" outlineLevel="0" collapsed="false">
      <c r="N244" s="12" t="n">
        <f aca="false">N243+0.01</f>
        <v>2.41999999999999</v>
      </c>
      <c r="O244" s="9" t="n">
        <f aca="false">SUMPRODUCT($F$7:$F$26,LN(1-EXP(-N244*$E$7:$E$26)+0.000000000001))-N244*SUMPRODUCT($G$7:$G$26,$E$7:$E$26)</f>
        <v>-2.03155101066409</v>
      </c>
      <c r="P244" s="9" t="n">
        <f aca="false">-0.5*((LN(N244)-LN($B$3))/$B$4)^2-LN(N244)</f>
        <v>-2.84051616181449</v>
      </c>
      <c r="Q244" s="9" t="n">
        <f aca="false">O244+P244</f>
        <v>-4.87206717247858</v>
      </c>
      <c r="R244" s="11" t="n">
        <f aca="false">EXP(Q244-MAX($Q$7:$Q$506))</f>
        <v>0.232283515761362</v>
      </c>
      <c r="S244" s="11" t="n">
        <f aca="false">SUM($R$7:R244)/SUM($R$7:$R$506)</f>
        <v>0.914055192405136</v>
      </c>
    </row>
    <row r="245" customFormat="false" ht="15" hidden="false" customHeight="false" outlineLevel="0" collapsed="false">
      <c r="N245" s="12" t="n">
        <f aca="false">N244+0.01</f>
        <v>2.42999999999999</v>
      </c>
      <c r="O245" s="9" t="n">
        <f aca="false">SUMPRODUCT($F$7:$F$26,LN(1-EXP(-N245*$E$7:$E$26)+0.000000000001))-N245*SUMPRODUCT($G$7:$G$26,$E$7:$E$26)</f>
        <v>-2.03077175929282</v>
      </c>
      <c r="P245" s="9" t="n">
        <f aca="false">-0.5*((LN(N245)-LN($B$3))/$B$4)^2-LN(N245)</f>
        <v>-2.86098942652858</v>
      </c>
      <c r="Q245" s="9" t="n">
        <f aca="false">O245+P245</f>
        <v>-4.89176118582141</v>
      </c>
      <c r="R245" s="11" t="n">
        <f aca="false">EXP(Q245-MAX($Q$7:$Q$506))</f>
        <v>0.227753672904393</v>
      </c>
      <c r="S245" s="11" t="n">
        <f aca="false">SUM($R$7:R245)/SUM($R$7:$R$506)</f>
        <v>0.91583986762614</v>
      </c>
    </row>
    <row r="246" customFormat="false" ht="15" hidden="false" customHeight="false" outlineLevel="0" collapsed="false">
      <c r="N246" s="12" t="n">
        <f aca="false">N245+0.01</f>
        <v>2.43999999999999</v>
      </c>
      <c r="O246" s="9" t="n">
        <f aca="false">SUMPRODUCT($F$7:$F$26,LN(1-EXP(-N246*$E$7:$E$26)+0.000000000001))-N246*SUMPRODUCT($G$7:$G$26,$E$7:$E$26)</f>
        <v>-2.03006042820096</v>
      </c>
      <c r="P246" s="9" t="n">
        <f aca="false">-0.5*((LN(N246)-LN($B$3))/$B$4)^2-LN(N246)</f>
        <v>-2.88144621362061</v>
      </c>
      <c r="Q246" s="9" t="n">
        <f aca="false">O246+P246</f>
        <v>-4.91150664182157</v>
      </c>
      <c r="R246" s="11" t="n">
        <f aca="false">EXP(Q246-MAX($Q$7:$Q$506))</f>
        <v>0.223300680636534</v>
      </c>
      <c r="S246" s="11" t="n">
        <f aca="false">SUM($R$7:R246)/SUM($R$7:$R$506)</f>
        <v>0.917589649249784</v>
      </c>
    </row>
    <row r="247" customFormat="false" ht="15" hidden="false" customHeight="false" outlineLevel="0" collapsed="false">
      <c r="N247" s="12" t="n">
        <f aca="false">N246+0.01</f>
        <v>2.44999999999999</v>
      </c>
      <c r="O247" s="9" t="n">
        <f aca="false">SUMPRODUCT($F$7:$F$26,LN(1-EXP(-N247*$E$7:$E$26)+0.000000000001))-N247*SUMPRODUCT($G$7:$G$26,$E$7:$E$26)</f>
        <v>-2.02941619392804</v>
      </c>
      <c r="P247" s="9" t="n">
        <f aca="false">-0.5*((LN(N247)-LN($B$3))/$B$4)^2-LN(N247)</f>
        <v>-2.90188638195197</v>
      </c>
      <c r="Q247" s="9" t="n">
        <f aca="false">O247+P247</f>
        <v>-4.93130257588002</v>
      </c>
      <c r="R247" s="11" t="n">
        <f aca="false">EXP(Q247-MAX($Q$7:$Q$506))</f>
        <v>0.218923701221645</v>
      </c>
      <c r="S247" s="11" t="n">
        <f aca="false">SUM($R$7:R247)/SUM($R$7:$R$506)</f>
        <v>0.919305132911928</v>
      </c>
    </row>
    <row r="248" customFormat="false" ht="15" hidden="false" customHeight="false" outlineLevel="0" collapsed="false">
      <c r="N248" s="12" t="n">
        <f aca="false">N247+0.01</f>
        <v>2.45999999999999</v>
      </c>
      <c r="O248" s="9" t="n">
        <f aca="false">SUMPRODUCT($F$7:$F$26,LN(1-EXP(-N248*$E$7:$E$26)+0.000000000001))-N248*SUMPRODUCT($G$7:$G$26,$E$7:$E$26)</f>
        <v>-2.02883824466456</v>
      </c>
      <c r="P248" s="9" t="n">
        <f aca="false">-0.5*((LN(N248)-LN($B$3))/$B$4)^2-LN(N248)</f>
        <v>-2.9223097943521</v>
      </c>
      <c r="Q248" s="9" t="n">
        <f aca="false">O248+P248</f>
        <v>-4.95114803901666</v>
      </c>
      <c r="R248" s="11" t="n">
        <f aca="false">EXP(Q248-MAX($Q$7:$Q$506))</f>
        <v>0.214621885923288</v>
      </c>
      <c r="S248" s="11" t="n">
        <f aca="false">SUM($R$7:R248)/SUM($R$7:$R$506)</f>
        <v>0.920986907597745</v>
      </c>
    </row>
    <row r="249" customFormat="false" ht="15" hidden="false" customHeight="false" outlineLevel="0" collapsed="false">
      <c r="N249" s="12" t="n">
        <f aca="false">N248+0.01</f>
        <v>2.46999999999999</v>
      </c>
      <c r="O249" s="9" t="n">
        <f aca="false">SUMPRODUCT($F$7:$F$26,LN(1-EXP(-N249*$E$7:$E$26)+0.000000000001))-N249*SUMPRODUCT($G$7:$G$26,$E$7:$E$26)</f>
        <v>-2.02832578005626</v>
      </c>
      <c r="P249" s="9" t="n">
        <f aca="false">-0.5*((LN(N249)-LN($B$3))/$B$4)^2-LN(N249)</f>
        <v>-2.9427163175268</v>
      </c>
      <c r="Q249" s="9" t="n">
        <f aca="false">O249+P249</f>
        <v>-4.97104209758306</v>
      </c>
      <c r="R249" s="11" t="n">
        <f aca="false">EXP(Q249-MAX($Q$7:$Q$506))</f>
        <v>0.210394376145784</v>
      </c>
      <c r="S249" s="11" t="n">
        <f aca="false">SUM($R$7:R249)/SUM($R$7:$R$506)</f>
        <v>0.922635555564462</v>
      </c>
    </row>
    <row r="250" customFormat="false" ht="15" hidden="false" customHeight="false" outlineLevel="0" collapsed="false">
      <c r="N250" s="12" t="n">
        <f aca="false">N249+0.01</f>
        <v>2.47999999999999</v>
      </c>
      <c r="O250" s="9" t="n">
        <f aca="false">SUMPRODUCT($F$7:$F$26,LN(1-EXP(-N250*$E$7:$E$26)+0.000000000001))-N250*SUMPRODUCT($G$7:$G$26,$E$7:$E$26)</f>
        <v>-2.0278780110123</v>
      </c>
      <c r="P250" s="9" t="n">
        <f aca="false">-0.5*((LN(N250)-LN($B$3))/$B$4)^2-LN(N250)</f>
        <v>-2.96310582196892</v>
      </c>
      <c r="Q250" s="9" t="n">
        <f aca="false">O250+P250</f>
        <v>-4.99098383298123</v>
      </c>
      <c r="R250" s="11" t="n">
        <f aca="false">EXP(Q250-MAX($Q$7:$Q$506))</f>
        <v>0.206240304528463</v>
      </c>
      <c r="S250" s="11" t="n">
        <f aca="false">SUM($R$7:R250)/SUM($R$7:$R$506)</f>
        <v>0.924251652272676</v>
      </c>
    </row>
    <row r="251" customFormat="false" ht="15" hidden="false" customHeight="false" outlineLevel="0" collapsed="false">
      <c r="N251" s="12" t="n">
        <f aca="false">N250+0.01</f>
        <v>2.48999999999999</v>
      </c>
      <c r="O251" s="9" t="n">
        <f aca="false">SUMPRODUCT($F$7:$F$26,LN(1-EXP(-N251*$E$7:$E$26)+0.000000000001))-N251*SUMPRODUCT($G$7:$G$26,$E$7:$E$26)</f>
        <v>-2.02749415951741</v>
      </c>
      <c r="P251" s="9" t="n">
        <f aca="false">-0.5*((LN(N251)-LN($B$3))/$B$4)^2-LN(N251)</f>
        <v>-2.98347818187123</v>
      </c>
      <c r="Q251" s="9" t="n">
        <f aca="false">O251+P251</f>
        <v>-5.01097234138864</v>
      </c>
      <c r="R251" s="11" t="n">
        <f aca="false">EXP(Q251-MAX($Q$7:$Q$506))</f>
        <v>0.202158795994355</v>
      </c>
      <c r="S251" s="11" t="n">
        <f aca="false">SUM($R$7:R251)/SUM($R$7:$R$506)</f>
        <v>0.925835766325891</v>
      </c>
    </row>
    <row r="252" customFormat="false" ht="15" hidden="false" customHeight="false" outlineLevel="0" collapsed="false">
      <c r="N252" s="12" t="n">
        <f aca="false">N251+0.01</f>
        <v>2.49999999999999</v>
      </c>
      <c r="O252" s="9" t="n">
        <f aca="false">SUMPRODUCT($F$7:$F$26,LN(1-EXP(-N252*$E$7:$E$26)+0.000000000001))-N252*SUMPRODUCT($G$7:$G$26,$E$7:$E$26)</f>
        <v>-2.02717345844758</v>
      </c>
      <c r="P252" s="9" t="n">
        <f aca="false">-0.5*((LN(N252)-LN($B$3))/$B$4)^2-LN(N252)</f>
        <v>-3.00383327504144</v>
      </c>
      <c r="Q252" s="9" t="n">
        <f aca="false">O252+P252</f>
        <v>-5.03100673348902</v>
      </c>
      <c r="R252" s="11" t="n">
        <f aca="false">EXP(Q252-MAX($Q$7:$Q$506))</f>
        <v>0.198148968754545</v>
      </c>
      <c r="S252" s="11" t="n">
        <f aca="false">SUM($R$7:R252)/SUM($R$7:$R$506)</f>
        <v>0.927388459417924</v>
      </c>
    </row>
    <row r="253" customFormat="false" ht="15" hidden="false" customHeight="false" outlineLevel="0" collapsed="false">
      <c r="N253" s="12" t="n">
        <f aca="false">N252+0.01</f>
        <v>2.50999999999999</v>
      </c>
      <c r="O253" s="9" t="n">
        <f aca="false">SUMPRODUCT($F$7:$F$26,LN(1-EXP(-N253*$E$7:$E$26)+0.000000000001))-N253*SUMPRODUCT($G$7:$G$26,$E$7:$E$26)</f>
        <v>-2.0269151513896</v>
      </c>
      <c r="P253" s="9" t="n">
        <f aca="false">-0.5*((LN(N253)-LN($B$3))/$B$4)^2-LN(N253)</f>
        <v>-3.0241709828194</v>
      </c>
      <c r="Q253" s="9" t="n">
        <f aca="false">O253+P253</f>
        <v>-5.05108613420901</v>
      </c>
      <c r="R253" s="11" t="n">
        <f aca="false">EXP(Q253-MAX($Q$7:$Q$506))</f>
        <v>0.194209935269406</v>
      </c>
      <c r="S253" s="11" t="n">
        <f aca="false">SUM($R$7:R253)/SUM($R$7:$R$506)</f>
        <v>0.928910286287841</v>
      </c>
    </row>
    <row r="254" customFormat="false" ht="15" hidden="false" customHeight="false" outlineLevel="0" collapsed="false">
      <c r="N254" s="12" t="n">
        <f aca="false">N253+0.01</f>
        <v>2.51999999999999</v>
      </c>
      <c r="O254" s="9" t="n">
        <f aca="false">SUMPRODUCT($F$7:$F$26,LN(1-EXP(-N254*$E$7:$E$26)+0.000000000001))-N254*SUMPRODUCT($G$7:$G$26,$E$7:$E$26)</f>
        <v>-2.0267184924641</v>
      </c>
      <c r="P254" s="9" t="n">
        <f aca="false">-0.5*((LN(N254)-LN($B$3))/$B$4)^2-LN(N254)</f>
        <v>-3.04449118999625</v>
      </c>
      <c r="Q254" s="9" t="n">
        <f aca="false">O254+P254</f>
        <v>-5.07120968246034</v>
      </c>
      <c r="R254" s="11" t="n">
        <f aca="false">EXP(Q254-MAX($Q$7:$Q$506))</f>
        <v>0.190340803167916</v>
      </c>
      <c r="S254" s="11" t="n">
        <f aca="false">SUM($R$7:R254)/SUM($R$7:$R$506)</f>
        <v>0.930401794682098</v>
      </c>
    </row>
    <row r="255" customFormat="false" ht="15" hidden="false" customHeight="false" outlineLevel="0" collapsed="false">
      <c r="N255" s="12" t="n">
        <f aca="false">N254+0.01</f>
        <v>2.52999999999999</v>
      </c>
      <c r="O255" s="9" t="n">
        <f aca="false">SUMPRODUCT($F$7:$F$26,LN(1-EXP(-N255*$E$7:$E$26)+0.000000000001))-N255*SUMPRODUCT($G$7:$G$26,$E$7:$E$26)</f>
        <v>-2.02658274615201</v>
      </c>
      <c r="P255" s="9" t="n">
        <f aca="false">-0.5*((LN(N255)-LN($B$3))/$B$4)^2-LN(N255)</f>
        <v>-3.06479378473561</v>
      </c>
      <c r="Q255" s="9" t="n">
        <f aca="false">O255+P255</f>
        <v>-5.09137653088762</v>
      </c>
      <c r="R255" s="11" t="n">
        <f aca="false">EXP(Q255-MAX($Q$7:$Q$506))</f>
        <v>0.186540676126258</v>
      </c>
      <c r="S255" s="11" t="n">
        <f aca="false">SUM($R$7:R255)/SUM($R$7:$R$506)</f>
        <v>0.931863525323569</v>
      </c>
    </row>
    <row r="256" customFormat="false" ht="15" hidden="false" customHeight="false" outlineLevel="0" collapsed="false">
      <c r="N256" s="12" t="n">
        <f aca="false">N255+0.01</f>
        <v>2.53999999999999</v>
      </c>
      <c r="O256" s="9" t="n">
        <f aca="false">SUMPRODUCT($F$7:$F$26,LN(1-EXP(-N256*$E$7:$E$26)+0.000000000001))-N256*SUMPRODUCT($G$7:$G$26,$E$7:$E$26)</f>
        <v>-2.02650718712457</v>
      </c>
      <c r="P256" s="9" t="n">
        <f aca="false">-0.5*((LN(N256)-LN($B$3))/$B$4)^2-LN(N256)</f>
        <v>-3.08507865849675</v>
      </c>
      <c r="Q256" s="9" t="n">
        <f aca="false">O256+P256</f>
        <v>-5.11158584562132</v>
      </c>
      <c r="R256" s="11" t="n">
        <f aca="false">EXP(Q256-MAX($Q$7:$Q$506))</f>
        <v>0.18280865470688</v>
      </c>
      <c r="S256" s="11" t="n">
        <f aca="false">SUM($R$7:R256)/SUM($R$7:$R$506)</f>
        <v>0.933296011887145</v>
      </c>
    </row>
    <row r="257" customFormat="false" ht="15" hidden="false" customHeight="false" outlineLevel="0" collapsed="false">
      <c r="N257" s="12" t="n">
        <f aca="false">N256+0.01</f>
        <v>2.54999999999999</v>
      </c>
      <c r="O257" s="9" t="n">
        <f aca="false">SUMPRODUCT($F$7:$F$26,LN(1-EXP(-N257*$E$7:$E$26)+0.000000000001))-N257*SUMPRODUCT($G$7:$G$26,$E$7:$E$26)</f>
        <v>-2.02649110007656</v>
      </c>
      <c r="P257" s="9" t="n">
        <f aca="false">-0.5*((LN(N257)-LN($B$3))/$B$4)^2-LN(N257)</f>
        <v>-3.1053457059595</v>
      </c>
      <c r="Q257" s="9" t="n">
        <f aca="false">O257+P257</f>
        <v>-5.13183680603606</v>
      </c>
      <c r="R257" s="11" t="n">
        <f aca="false">EXP(Q257-MAX($Q$7:$Q$506))</f>
        <v>0.179143837159192</v>
      </c>
      <c r="S257" s="11" t="n">
        <f aca="false">SUM($R$7:R257)/SUM($R$7:$R$506)</f>
        <v>0.934699780981608</v>
      </c>
    </row>
    <row r="258" customFormat="false" ht="15" hidden="false" customHeight="false" outlineLevel="0" collapsed="false">
      <c r="N258" s="12" t="n">
        <f aca="false">N257+0.01</f>
        <v>2.55999999999999</v>
      </c>
      <c r="O258" s="9" t="n">
        <f aca="false">SUMPRODUCT($F$7:$F$26,LN(1-EXP(-N258*$E$7:$E$26)+0.000000000001))-N258*SUMPRODUCT($G$7:$G$26,$E$7:$E$26)</f>
        <v>-2.02653377956281</v>
      </c>
      <c r="P258" s="9" t="n">
        <f aca="false">-0.5*((LN(N258)-LN($B$3))/$B$4)^2-LN(N258)</f>
        <v>-3.12559482495116</v>
      </c>
      <c r="Q258" s="9" t="n">
        <f aca="false">O258+P258</f>
        <v>-5.15212860451397</v>
      </c>
      <c r="R258" s="11" t="n">
        <f aca="false">EXP(Q258-MAX($Q$7:$Q$506))</f>
        <v>0.175545320183038</v>
      </c>
      <c r="S258" s="11" t="n">
        <f aca="false">SUM($R$7:R258)/SUM($R$7:$R$506)</f>
        <v>0.936075352137492</v>
      </c>
    </row>
    <row r="259" customFormat="false" ht="15" hidden="false" customHeight="false" outlineLevel="0" collapsed="false">
      <c r="N259" s="12" t="n">
        <f aca="false">N258+0.01</f>
        <v>2.56999999999999</v>
      </c>
      <c r="O259" s="9" t="n">
        <f aca="false">SUMPRODUCT($F$7:$F$26,LN(1-EXP(-N259*$E$7:$E$26)+0.000000000001))-N259*SUMPRODUCT($G$7:$G$26,$E$7:$E$26)</f>
        <v>-2.0266345298379</v>
      </c>
      <c r="P259" s="9" t="n">
        <f aca="false">-0.5*((LN(N259)-LN($B$3))/$B$4)^2-LN(N259)</f>
        <v>-3.1458259163751</v>
      </c>
      <c r="Q259" s="9" t="n">
        <f aca="false">O259+P259</f>
        <v>-5.172460446213</v>
      </c>
      <c r="R259" s="11" t="n">
        <f aca="false">EXP(Q259-MAX($Q$7:$Q$506))</f>
        <v>0.172012199656091</v>
      </c>
      <c r="S259" s="11" t="n">
        <f aca="false">SUM($R$7:R259)/SUM($R$7:$R$506)</f>
        <v>0.937423237800638</v>
      </c>
    </row>
    <row r="260" customFormat="false" ht="15" hidden="false" customHeight="false" outlineLevel="0" collapsed="false">
      <c r="N260" s="12" t="n">
        <f aca="false">N259+0.01</f>
        <v>2.57999999999999</v>
      </c>
      <c r="O260" s="9" t="n">
        <f aca="false">SUMPRODUCT($F$7:$F$26,LN(1-EXP(-N260*$E$7:$E$26)+0.000000000001))-N260*SUMPRODUCT($G$7:$G$26,$E$7:$E$26)</f>
        <v>-2.02679266469894</v>
      </c>
      <c r="P260" s="9" t="n">
        <f aca="false">-0.5*((LN(N260)-LN($B$3))/$B$4)^2-LN(N260)</f>
        <v>-3.16603888414105</v>
      </c>
      <c r="Q260" s="9" t="n">
        <f aca="false">O260+P260</f>
        <v>-5.19283154883999</v>
      </c>
      <c r="R260" s="11" t="n">
        <f aca="false">EXP(Q260-MAX($Q$7:$Q$506))</f>
        <v>0.168543571326288</v>
      </c>
      <c r="S260" s="11" t="n">
        <f aca="false">SUM($R$7:R260)/SUM($R$7:$R$506)</f>
        <v>0.938743943331178</v>
      </c>
    </row>
    <row r="261" customFormat="false" ht="15" hidden="false" customHeight="false" outlineLevel="0" collapsed="false">
      <c r="N261" s="12" t="n">
        <f aca="false">N260+0.01</f>
        <v>2.58999999999999</v>
      </c>
      <c r="O261" s="9" t="n">
        <f aca="false">SUMPRODUCT($F$7:$F$26,LN(1-EXP(-N261*$E$7:$E$26)+0.000000000001))-N261*SUMPRODUCT($G$7:$G$26,$E$7:$E$26)</f>
        <v>-2.02700750733141</v>
      </c>
      <c r="P261" s="9" t="n">
        <f aca="false">-0.5*((LN(N261)-LN($B$3))/$B$4)^2-LN(N261)</f>
        <v>-3.18623363509719</v>
      </c>
      <c r="Q261" s="9" t="n">
        <f aca="false">O261+P261</f>
        <v>-5.2132411424286</v>
      </c>
      <c r="R261" s="11" t="n">
        <f aca="false">EXP(Q261-MAX($Q$7:$Q$506))</f>
        <v>0.165138531470405</v>
      </c>
      <c r="S261" s="11" t="n">
        <f aca="false">SUM($R$7:R261)/SUM($R$7:$R$506)</f>
        <v>0.940037967007679</v>
      </c>
    </row>
    <row r="262" customFormat="false" ht="15" hidden="false" customHeight="false" outlineLevel="0" collapsed="false">
      <c r="N262" s="12" t="n">
        <f aca="false">N261+0.01</f>
        <v>2.59999999999999</v>
      </c>
      <c r="O262" s="9" t="n">
        <f aca="false">SUMPRODUCT($F$7:$F$26,LN(1-EXP(-N262*$E$7:$E$26)+0.000000000001))-N262*SUMPRODUCT($G$7:$G$26,$E$7:$E$26)</f>
        <v>-2.02727839015793</v>
      </c>
      <c r="P262" s="9" t="n">
        <f aca="false">-0.5*((LN(N262)-LN($B$3))/$B$4)^2-LN(N262)</f>
        <v>-3.2064100789638</v>
      </c>
      <c r="Q262" s="9" t="n">
        <f aca="false">O262+P262</f>
        <v>-5.23368846912173</v>
      </c>
      <c r="R262" s="11" t="n">
        <f aca="false">EXP(Q262-MAX($Q$7:$Q$506))</f>
        <v>0.16179617751985</v>
      </c>
      <c r="S262" s="11" t="n">
        <f aca="false">SUM($R$7:R262)/SUM($R$7:$R$506)</f>
        <v>0.94130580003619</v>
      </c>
    </row>
    <row r="263" customFormat="false" ht="15" hidden="false" customHeight="false" outlineLevel="0" collapsed="false">
      <c r="N263" s="12" t="n">
        <f aca="false">N262+0.01</f>
        <v>2.60999999999999</v>
      </c>
      <c r="O263" s="9" t="n">
        <f aca="false">SUMPRODUCT($F$7:$F$26,LN(1-EXP(-N263*$E$7:$E$26)+0.000000000001))-N263*SUMPRODUCT($G$7:$G$26,$E$7:$E$26)</f>
        <v>-2.02760465468995</v>
      </c>
      <c r="P263" s="9" t="n">
        <f aca="false">-0.5*((LN(N263)-LN($B$3))/$B$4)^2-LN(N263)</f>
        <v>-3.2265681282685</v>
      </c>
      <c r="Q263" s="9" t="n">
        <f aca="false">O263+P263</f>
        <v>-5.25417278295845</v>
      </c>
      <c r="R263" s="11" t="n">
        <f aca="false">EXP(Q263-MAX($Q$7:$Q$506))</f>
        <v>0.158515608654751</v>
      </c>
      <c r="S263" s="11" t="n">
        <f aca="false">SUM($R$7:R263)/SUM($R$7:$R$506)</f>
        <v>0.942547926563947</v>
      </c>
    </row>
    <row r="264" customFormat="false" ht="15" hidden="false" customHeight="false" outlineLevel="0" collapsed="false">
      <c r="N264" s="12" t="n">
        <f aca="false">N263+0.01</f>
        <v>2.61999999999999</v>
      </c>
      <c r="O264" s="9" t="n">
        <f aca="false">SUMPRODUCT($F$7:$F$26,LN(1-EXP(-N264*$E$7:$E$26)+0.000000000001))-N264*SUMPRODUCT($G$7:$G$26,$E$7:$E$26)</f>
        <v>-2.02798565138223</v>
      </c>
      <c r="P264" s="9" t="n">
        <f aca="false">-0.5*((LN(N264)-LN($B$3))/$B$4)^2-LN(N264)</f>
        <v>-3.24670769828309</v>
      </c>
      <c r="Q264" s="9" t="n">
        <f aca="false">O264+P264</f>
        <v>-5.27469334966533</v>
      </c>
      <c r="R264" s="11" t="n">
        <f aca="false">EXP(Q264-MAX($Q$7:$Q$506))</f>
        <v>0.155295926367369</v>
      </c>
      <c r="S264" s="11" t="n">
        <f aca="false">SUM($R$7:R264)/SUM($R$7:$R$506)</f>
        <v>0.943764823697488</v>
      </c>
    </row>
    <row r="265" customFormat="false" ht="15" hidden="false" customHeight="false" outlineLevel="0" collapsed="false">
      <c r="N265" s="12" t="n">
        <f aca="false">N264+0.01</f>
        <v>2.62999999999999</v>
      </c>
      <c r="O265" s="9" t="n">
        <f aca="false">SUMPRODUCT($F$7:$F$26,LN(1-EXP(-N265*$E$7:$E$26)+0.000000000001))-N265*SUMPRODUCT($G$7:$G$26,$E$7:$E$26)</f>
        <v>-2.02842073949017</v>
      </c>
      <c r="P265" s="9" t="n">
        <f aca="false">-0.5*((LN(N265)-LN($B$3))/$B$4)^2-LN(N265)</f>
        <v>-3.26682870696189</v>
      </c>
      <c r="Q265" s="9" t="n">
        <f aca="false">O265+P265</f>
        <v>-5.29524944645206</v>
      </c>
      <c r="R265" s="11" t="n">
        <f aca="false">EXP(Q265-MAX($Q$7:$Q$506))</f>
        <v>0.152136234995868</v>
      </c>
      <c r="S265" s="11" t="n">
        <f aca="false">SUM($R$7:R265)/SUM($R$7:$R$506)</f>
        <v>0.944956961524955</v>
      </c>
    </row>
    <row r="266" customFormat="false" ht="15" hidden="false" customHeight="false" outlineLevel="0" collapsed="false">
      <c r="N266" s="12" t="n">
        <f aca="false">N265+0.01</f>
        <v>2.63999999999999</v>
      </c>
      <c r="O266" s="9" t="n">
        <f aca="false">SUMPRODUCT($F$7:$F$26,LN(1-EXP(-N266*$E$7:$E$26)+0.000000000001))-N266*SUMPRODUCT($G$7:$G$26,$E$7:$E$26)</f>
        <v>-2.02890928692972</v>
      </c>
      <c r="P266" s="9" t="n">
        <f aca="false">-0.5*((LN(N266)-LN($B$3))/$B$4)^2-LN(N266)</f>
        <v>-3.2869310748815</v>
      </c>
      <c r="Q266" s="9" t="n">
        <f aca="false">O266+P266</f>
        <v>-5.31584036181123</v>
      </c>
      <c r="R266" s="11" t="n">
        <f aca="false">EXP(Q266-MAX($Q$7:$Q$506))</f>
        <v>0.149035642229448</v>
      </c>
      <c r="S266" s="11" t="n">
        <f aca="false">SUM($R$7:R266)/SUM($R$7:$R$506)</f>
        <v>0.946124803142355</v>
      </c>
    </row>
    <row r="267" customFormat="false" ht="15" hidden="false" customHeight="false" outlineLevel="0" collapsed="false">
      <c r="N267" s="12" t="n">
        <f aca="false">N266+0.01</f>
        <v>2.64999999999999</v>
      </c>
      <c r="O267" s="9" t="n">
        <f aca="false">SUMPRODUCT($F$7:$F$26,LN(1-EXP(-N267*$E$7:$E$26)+0.000000000001))-N267*SUMPRODUCT($G$7:$G$26,$E$7:$E$26)</f>
        <v>-2.02945067014004</v>
      </c>
      <c r="P267" s="9" t="n">
        <f aca="false">-0.5*((LN(N267)-LN($B$3))/$B$4)^2-LN(N267)</f>
        <v>-3.30701472518208</v>
      </c>
      <c r="Q267" s="9" t="n">
        <f aca="false">O267+P267</f>
        <v>-5.33646539532212</v>
      </c>
      <c r="R267" s="11" t="n">
        <f aca="false">EXP(Q267-MAX($Q$7:$Q$506))</f>
        <v>0.145993259585812</v>
      </c>
      <c r="S267" s="11" t="n">
        <f aca="false">SUM($R$7:R267)/SUM($R$7:$R$506)</f>
        <v>0.947268804683555</v>
      </c>
    </row>
    <row r="268" customFormat="false" ht="15" hidden="false" customHeight="false" outlineLevel="0" collapsed="false">
      <c r="N268" s="12" t="n">
        <f aca="false">N267+0.01</f>
        <v>2.65999999999999</v>
      </c>
      <c r="O268" s="9" t="n">
        <f aca="false">SUMPRODUCT($F$7:$F$26,LN(1-EXP(-N268*$E$7:$E$26)+0.000000000001))-N268*SUMPRODUCT($G$7:$G$26,$E$7:$E$26)</f>
        <v>-2.03004427394867</v>
      </c>
      <c r="P268" s="9" t="n">
        <f aca="false">-0.5*((LN(N268)-LN($B$3))/$B$4)^2-LN(N268)</f>
        <v>-3.32707958350992</v>
      </c>
      <c r="Q268" s="9" t="n">
        <f aca="false">O268+P268</f>
        <v>-5.35712385745859</v>
      </c>
      <c r="R268" s="11" t="n">
        <f aca="false">EXP(Q268-MAX($Q$7:$Q$506))</f>
        <v>0.143008202861943</v>
      </c>
      <c r="S268" s="11" t="n">
        <f aca="false">SUM($R$7:R268)/SUM($R$7:$R$506)</f>
        <v>0.948389415353817</v>
      </c>
    </row>
    <row r="269" customFormat="false" ht="15" hidden="false" customHeight="false" outlineLevel="0" collapsed="false">
      <c r="N269" s="12" t="n">
        <f aca="false">N268+0.01</f>
        <v>2.66999999999999</v>
      </c>
      <c r="O269" s="9" t="n">
        <f aca="false">SUMPRODUCT($F$7:$F$26,LN(1-EXP(-N269*$E$7:$E$26)+0.000000000001))-N269*SUMPRODUCT($G$7:$G$26,$E$7:$E$26)</f>
        <v>-2.03068949143928</v>
      </c>
      <c r="P269" s="9" t="n">
        <f aca="false">-0.5*((LN(N269)-LN($B$3))/$B$4)^2-LN(N269)</f>
        <v>-3.34712557796148</v>
      </c>
      <c r="Q269" s="9" t="n">
        <f aca="false">O269+P269</f>
        <v>-5.37781506940075</v>
      </c>
      <c r="R269" s="11" t="n">
        <f aca="false">EXP(Q269-MAX($Q$7:$Q$506))</f>
        <v>0.140079592559128</v>
      </c>
      <c r="S269" s="11" t="n">
        <f aca="false">SUM($R$7:R269)/SUM($R$7:$R$506)</f>
        <v>0.949487077466663</v>
      </c>
    </row>
    <row r="270" customFormat="false" ht="15" hidden="false" customHeight="false" outlineLevel="0" collapsed="false">
      <c r="N270" s="12" t="n">
        <f aca="false">N269+0.01</f>
        <v>2.67999999999999</v>
      </c>
      <c r="O270" s="9" t="n">
        <f aca="false">SUMPRODUCT($F$7:$F$26,LN(1-EXP(-N270*$E$7:$E$26)+0.000000000001))-N270*SUMPRODUCT($G$7:$G$26,$E$7:$E$26)</f>
        <v>-2.03138572382185</v>
      </c>
      <c r="P270" s="9" t="n">
        <f aca="false">-0.5*((LN(N270)-LN($B$3))/$B$4)^2-LN(N270)</f>
        <v>-3.36715263902864</v>
      </c>
      <c r="Q270" s="9" t="n">
        <f aca="false">O270+P270</f>
        <v>-5.39853836285049</v>
      </c>
      <c r="R270" s="11" t="n">
        <f aca="false">EXP(Q270-MAX($Q$7:$Q$506))</f>
        <v>0.13720655428314</v>
      </c>
      <c r="S270" s="11" t="n">
        <f aca="false">SUM($R$7:R270)/SUM($R$7:$R$506)</f>
        <v>0.95056222648387</v>
      </c>
    </row>
    <row r="271" customFormat="false" ht="15" hidden="false" customHeight="false" outlineLevel="0" collapsed="false">
      <c r="N271" s="12" t="n">
        <f aca="false">N270+0.01</f>
        <v>2.68999999999999</v>
      </c>
      <c r="O271" s="9" t="n">
        <f aca="false">SUMPRODUCT($F$7:$F$26,LN(1-EXP(-N271*$E$7:$E$26)+0.000000000001))-N271*SUMPRODUCT($G$7:$G$26,$E$7:$E$26)</f>
        <v>-2.0321323803053</v>
      </c>
      <c r="P271" s="9" t="n">
        <f aca="false">-0.5*((LN(N271)-LN($B$3))/$B$4)^2-LN(N271)</f>
        <v>-3.38716069954535</v>
      </c>
      <c r="Q271" s="9" t="n">
        <f aca="false">O271+P271</f>
        <v>-5.41929307985065</v>
      </c>
      <c r="R271" s="11" t="n">
        <f aca="false">EXP(Q271-MAX($Q$7:$Q$506))</f>
        <v>0.13438821912049</v>
      </c>
      <c r="S271" s="11" t="n">
        <f aca="false">SUM($R$7:R271)/SUM($R$7:$R$506)</f>
        <v>0.95161529105842</v>
      </c>
    </row>
    <row r="272" customFormat="false" ht="15" hidden="false" customHeight="false" outlineLevel="0" collapsed="false">
      <c r="N272" s="12" t="n">
        <f aca="false">N271+0.01</f>
        <v>2.69999999999999</v>
      </c>
      <c r="O272" s="9" t="n">
        <f aca="false">SUMPRODUCT($F$7:$F$26,LN(1-EXP(-N272*$E$7:$E$26)+0.000000000001))-N272*SUMPRODUCT($G$7:$G$26,$E$7:$E$26)</f>
        <v>-2.03292887797243</v>
      </c>
      <c r="P272" s="9" t="n">
        <f aca="false">-0.5*((LN(N272)-LN($B$3))/$B$4)^2-LN(N272)</f>
        <v>-3.40714969463542</v>
      </c>
      <c r="Q272" s="9" t="n">
        <f aca="false">O272+P272</f>
        <v>-5.44007857260785</v>
      </c>
      <c r="R272" s="11" t="n">
        <f aca="false">EXP(Q272-MAX($Q$7:$Q$506))</f>
        <v>0.131623723991613</v>
      </c>
      <c r="S272" s="11" t="n">
        <f aca="false">SUM($R$7:R272)/SUM($R$7:$R$506)</f>
        <v>0.952646693080212</v>
      </c>
    </row>
    <row r="273" customFormat="false" ht="15" hidden="false" customHeight="false" outlineLevel="0" collapsed="false">
      <c r="N273" s="12" t="n">
        <f aca="false">N272+0.01</f>
        <v>2.70999999999999</v>
      </c>
      <c r="O273" s="9" t="n">
        <f aca="false">SUMPRODUCT($F$7:$F$26,LN(1-EXP(-N273*$E$7:$E$26)+0.000000000001))-N273*SUMPRODUCT($G$7:$G$26,$E$7:$E$26)</f>
        <v>-2.0337746416572</v>
      </c>
      <c r="P273" s="9" t="n">
        <f aca="false">-0.5*((LN(N273)-LN($B$3))/$B$4)^2-LN(N273)</f>
        <v>-3.42711956166162</v>
      </c>
      <c r="Q273" s="9" t="n">
        <f aca="false">O273+P273</f>
        <v>-5.46089420331882</v>
      </c>
      <c r="R273" s="11" t="n">
        <f aca="false">EXP(Q273-MAX($Q$7:$Q$506))</f>
        <v>0.128912211981854</v>
      </c>
      <c r="S273" s="11" t="n">
        <f aca="false">SUM($R$7:R273)/SUM($R$7:$R$506)</f>
        <v>0.953656847724372</v>
      </c>
    </row>
    <row r="274" customFormat="false" ht="15" hidden="false" customHeight="false" outlineLevel="0" collapsed="false">
      <c r="N274" s="12" t="n">
        <f aca="false">N273+0.01</f>
        <v>2.71999999999999</v>
      </c>
      <c r="O274" s="9" t="n">
        <f aca="false">SUMPRODUCT($F$7:$F$26,LN(1-EXP(-N274*$E$7:$E$26)+0.000000000001))-N274*SUMPRODUCT($G$7:$G$26,$E$7:$E$26)</f>
        <v>-2.03466910382432</v>
      </c>
      <c r="P274" s="9" t="n">
        <f aca="false">-0.5*((LN(N274)-LN($B$3))/$B$4)^2-LN(N274)</f>
        <v>-3.44707024017592</v>
      </c>
      <c r="Q274" s="9" t="n">
        <f aca="false">O274+P274</f>
        <v>-5.48173934400024</v>
      </c>
      <c r="R274" s="11" t="n">
        <f aca="false">EXP(Q274-MAX($Q$7:$Q$506))</f>
        <v>0.12625283265108</v>
      </c>
      <c r="S274" s="11" t="n">
        <f aca="false">SUM($R$7:R274)/SUM($R$7:$R$506)</f>
        <v>0.954646163501987</v>
      </c>
    </row>
    <row r="275" customFormat="false" ht="15" hidden="false" customHeight="false" outlineLevel="0" collapsed="false">
      <c r="N275" s="12" t="n">
        <f aca="false">N274+0.01</f>
        <v>2.72999999999999</v>
      </c>
      <c r="O275" s="9" t="n">
        <f aca="false">SUMPRODUCT($F$7:$F$26,LN(1-EXP(-N275*$E$7:$E$26)+0.000000000001))-N275*SUMPRODUCT($G$7:$G$26,$E$7:$E$26)</f>
        <v>-2.03561170445095</v>
      </c>
      <c r="P275" s="9" t="n">
        <f aca="false">-0.5*((LN(N275)-LN($B$3))/$B$4)^2-LN(N275)</f>
        <v>-3.46700167187091</v>
      </c>
      <c r="Q275" s="9" t="n">
        <f aca="false">O275+P275</f>
        <v>-5.50261337632186</v>
      </c>
      <c r="R275" s="11" t="n">
        <f aca="false">EXP(Q275-MAX($Q$7:$Q$506))</f>
        <v>0.12364474232274</v>
      </c>
      <c r="S275" s="11" t="n">
        <f aca="false">SUM($R$7:R275)/SUM($R$7:$R$506)</f>
        <v>0.955615042313103</v>
      </c>
    </row>
    <row r="276" customFormat="false" ht="15" hidden="false" customHeight="false" outlineLevel="0" collapsed="false">
      <c r="N276" s="12" t="n">
        <f aca="false">N275+0.01</f>
        <v>2.73999999999999</v>
      </c>
      <c r="O276" s="9" t="n">
        <f aca="false">SUMPRODUCT($F$7:$F$26,LN(1-EXP(-N276*$E$7:$E$26)+0.000000000001))-N276*SUMPRODUCT($G$7:$G$26,$E$7:$E$26)</f>
        <v>-2.03660189091061</v>
      </c>
      <c r="P276" s="9" t="n">
        <f aca="false">-0.5*((LN(N276)-LN($B$3))/$B$4)^2-LN(N276)</f>
        <v>-3.48691380053235</v>
      </c>
      <c r="Q276" s="9" t="n">
        <f aca="false">O276+P276</f>
        <v>-5.52351569144296</v>
      </c>
      <c r="R276" s="11" t="n">
        <f aca="false">EXP(Q276-MAX($Q$7:$Q$506))</f>
        <v>0.121087104353147</v>
      </c>
      <c r="S276" s="11" t="n">
        <f aca="false">SUM($R$7:R276)/SUM($R$7:$R$506)</f>
        <v>0.956563879501836</v>
      </c>
    </row>
    <row r="277" customFormat="false" ht="15" hidden="false" customHeight="false" outlineLevel="0" collapsed="false">
      <c r="N277" s="12" t="n">
        <f aca="false">N276+0.01</f>
        <v>2.74999999999999</v>
      </c>
      <c r="O277" s="9" t="n">
        <f aca="false">SUMPRODUCT($F$7:$F$26,LN(1-EXP(-N277*$E$7:$E$26)+0.000000000001))-N277*SUMPRODUCT($G$7:$G$26,$E$7:$E$26)</f>
        <v>-2.03763911785928</v>
      </c>
      <c r="P277" s="9" t="n">
        <f aca="false">-0.5*((LN(N277)-LN($B$3))/$B$4)^2-LN(N277)</f>
        <v>-3.50680657199277</v>
      </c>
      <c r="Q277" s="9" t="n">
        <f aca="false">O277+P277</f>
        <v>-5.54444568985204</v>
      </c>
      <c r="R277" s="11" t="n">
        <f aca="false">EXP(Q277-MAX($Q$7:$Q$506))</f>
        <v>0.118579089381784</v>
      </c>
      <c r="S277" s="11" t="n">
        <f aca="false">SUM($R$7:R277)/SUM($R$7:$R$506)</f>
        <v>0.957493063913442</v>
      </c>
    </row>
    <row r="278" customFormat="false" ht="15" hidden="false" customHeight="false" outlineLevel="0" collapsed="false">
      <c r="N278" s="12" t="n">
        <f aca="false">N277+0.01</f>
        <v>2.75999999999999</v>
      </c>
      <c r="O278" s="9" t="n">
        <f aca="false">SUMPRODUCT($F$7:$F$26,LN(1-EXP(-N278*$E$7:$E$26)+0.000000000001))-N278*SUMPRODUCT($G$7:$G$26,$E$7:$E$26)</f>
        <v>-2.03872284712339</v>
      </c>
      <c r="P278" s="9" t="n">
        <f aca="false">-0.5*((LN(N278)-LN($B$3))/$B$4)^2-LN(N278)</f>
        <v>-3.52667993408625</v>
      </c>
      <c r="Q278" s="9" t="n">
        <f aca="false">O278+P278</f>
        <v>-5.56540278120964</v>
      </c>
      <c r="R278" s="11" t="n">
        <f aca="false">EXP(Q278-MAX($Q$7:$Q$506))</f>
        <v>0.116119875563341</v>
      </c>
      <c r="S278" s="11" t="n">
        <f aca="false">SUM($R$7:R278)/SUM($R$7:$R$506)</f>
        <v>0.958402977953209</v>
      </c>
    </row>
    <row r="279" customFormat="false" ht="15" hidden="false" customHeight="false" outlineLevel="0" collapsed="false">
      <c r="N279" s="12" t="n">
        <f aca="false">N278+0.01</f>
        <v>2.76999999999999</v>
      </c>
      <c r="O279" s="9" t="n">
        <f aca="false">SUMPRODUCT($F$7:$F$26,LN(1-EXP(-N279*$E$7:$E$26)+0.000000000001))-N279*SUMPRODUCT($G$7:$G$26,$E$7:$E$26)</f>
        <v>-2.03985254759006</v>
      </c>
      <c r="P279" s="9" t="n">
        <f aca="false">-0.5*((LN(N279)-LN($B$3))/$B$4)^2-LN(N279)</f>
        <v>-3.54653383660411</v>
      </c>
      <c r="Q279" s="9" t="n">
        <f aca="false">O279+P279</f>
        <v>-5.58638638419416</v>
      </c>
      <c r="R279" s="11" t="n">
        <f aca="false">EXP(Q279-MAX($Q$7:$Q$506))</f>
        <v>0.113708648782257</v>
      </c>
      <c r="S279" s="11" t="n">
        <f aca="false">SUM($R$7:R279)/SUM($R$7:$R$506)</f>
        <v>0.959293997647019</v>
      </c>
    </row>
    <row r="280" customFormat="false" ht="15" hidden="false" customHeight="false" outlineLevel="0" collapsed="false">
      <c r="N280" s="12" t="n">
        <f aca="false">N279+0.01</f>
        <v>2.77999999999998</v>
      </c>
      <c r="O280" s="9" t="n">
        <f aca="false">SUMPRODUCT($F$7:$F$26,LN(1-EXP(-N280*$E$7:$E$26)+0.000000000001))-N280*SUMPRODUCT($G$7:$G$26,$E$7:$E$26)</f>
        <v>-2.04102769509911</v>
      </c>
      <c r="P280" s="9" t="n">
        <f aca="false">-0.5*((LN(N280)-LN($B$3))/$B$4)^2-LN(N280)</f>
        <v>-3.56636823125173</v>
      </c>
      <c r="Q280" s="9" t="n">
        <f aca="false">O280+P280</f>
        <v>-5.60739592635083</v>
      </c>
      <c r="R280" s="11" t="n">
        <f aca="false">EXP(Q280-MAX($Q$7:$Q$506))</f>
        <v>0.11134460285044</v>
      </c>
      <c r="S280" s="11" t="n">
        <f aca="false">SUM($R$7:R280)/SUM($R$7:$R$506)</f>
        <v>0.96016649270348</v>
      </c>
    </row>
    <row r="281" customFormat="false" ht="15" hidden="false" customHeight="false" outlineLevel="0" collapsed="false">
      <c r="N281" s="12" t="n">
        <f aca="false">N280+0.01</f>
        <v>2.78999999999998</v>
      </c>
      <c r="O281" s="9" t="n">
        <f aca="false">SUMPRODUCT($F$7:$F$26,LN(1-EXP(-N281*$E$7:$E$26)+0.000000000001))-N281*SUMPRODUCT($G$7:$G$26,$E$7:$E$26)</f>
        <v>-2.04224777233717</v>
      </c>
      <c r="P281" s="9" t="n">
        <f aca="false">-0.5*((LN(N281)-LN($B$3))/$B$4)^2-LN(N281)</f>
        <v>-3.58618307160629</v>
      </c>
      <c r="Q281" s="9" t="n">
        <f aca="false">O281+P281</f>
        <v>-5.62843084394345</v>
      </c>
      <c r="R281" s="11" t="n">
        <f aca="false">EXP(Q281-MAX($Q$7:$Q$506))</f>
        <v>0.109026939688876</v>
      </c>
      <c r="S281" s="11" t="n">
        <f aca="false">SUM($R$7:R281)/SUM($R$7:$R$506)</f>
        <v>0.961020826577456</v>
      </c>
    </row>
    <row r="282" customFormat="false" ht="15" hidden="false" customHeight="false" outlineLevel="0" collapsed="false">
      <c r="N282" s="12" t="n">
        <f aca="false">N281+0.01</f>
        <v>2.79999999999998</v>
      </c>
      <c r="O282" s="9" t="n">
        <f aca="false">SUMPRODUCT($F$7:$F$26,LN(1-EXP(-N282*$E$7:$E$26)+0.000000000001))-N282*SUMPRODUCT($G$7:$G$26,$E$7:$E$26)</f>
        <v>-2.04351226873361</v>
      </c>
      <c r="P282" s="9" t="n">
        <f aca="false">-0.5*((LN(N282)-LN($B$3))/$B$4)^2-LN(N282)</f>
        <v>-3.6059783130755</v>
      </c>
      <c r="Q282" s="9" t="n">
        <f aca="false">O282+P282</f>
        <v>-5.6494905818091</v>
      </c>
      <c r="R282" s="11" t="n">
        <f aca="false">EXP(Q282-MAX($Q$7:$Q$506))</f>
        <v>0.106754869493779</v>
      </c>
      <c r="S282" s="11" t="n">
        <f aca="false">SUM($R$7:R282)/SUM($R$7:$R$506)</f>
        <v>0.96185735653492</v>
      </c>
    </row>
    <row r="283" customFormat="false" ht="15" hidden="false" customHeight="false" outlineLevel="0" collapsed="false">
      <c r="N283" s="12" t="n">
        <f aca="false">N282+0.01</f>
        <v>2.80999999999998</v>
      </c>
      <c r="O283" s="9" t="n">
        <f aca="false">SUMPRODUCT($F$7:$F$26,LN(1-EXP(-N283*$E$7:$E$26)+0.000000000001))-N283*SUMPRODUCT($G$7:$G$26,$E$7:$E$26)</f>
        <v>-2.04482068035834</v>
      </c>
      <c r="P283" s="9" t="n">
        <f aca="false">-0.5*((LN(N283)-LN($B$3))/$B$4)^2-LN(N283)</f>
        <v>-3.62575391285729</v>
      </c>
      <c r="Q283" s="9" t="n">
        <f aca="false">O283+P283</f>
        <v>-5.67057459321563</v>
      </c>
      <c r="R283" s="11" t="n">
        <f aca="false">EXP(Q283-MAX($Q$7:$Q$506))</f>
        <v>0.10452761088795</v>
      </c>
      <c r="S283" s="11" t="n">
        <f aca="false">SUM($R$7:R283)/SUM($R$7:$R$506)</f>
        <v>0.962676433718983</v>
      </c>
    </row>
    <row r="284" customFormat="false" ht="15" hidden="false" customHeight="false" outlineLevel="0" collapsed="false">
      <c r="N284" s="12" t="n">
        <f aca="false">N283+0.01</f>
        <v>2.81999999999998</v>
      </c>
      <c r="O284" s="9" t="n">
        <f aca="false">SUMPRODUCT($F$7:$F$26,LN(1-EXP(-N284*$E$7:$E$26)+0.000000000001))-N284*SUMPRODUCT($G$7:$G$26,$E$7:$E$26)</f>
        <v>-2.04617250982145</v>
      </c>
      <c r="P284" s="9" t="n">
        <f aca="false">-0.5*((LN(N284)-LN($B$3))/$B$4)^2-LN(N284)</f>
        <v>-3.6455098299004</v>
      </c>
      <c r="Q284" s="9" t="n">
        <f aca="false">O284+P284</f>
        <v>-5.69168233972185</v>
      </c>
      <c r="R284" s="11" t="n">
        <f aca="false">EXP(Q284-MAX($Q$7:$Q$506))</f>
        <v>0.102344391057955</v>
      </c>
      <c r="S284" s="11" t="n">
        <f aca="false">SUM($R$7:R284)/SUM($R$7:$R$506)</f>
        <v>0.963478403216997</v>
      </c>
    </row>
    <row r="285" customFormat="false" ht="15" hidden="false" customHeight="false" outlineLevel="0" collapsed="false">
      <c r="N285" s="12" t="n">
        <f aca="false">N284+0.01</f>
        <v>2.82999999999998</v>
      </c>
      <c r="O285" s="9" t="n">
        <f aca="false">SUMPRODUCT($F$7:$F$26,LN(1-EXP(-N285*$E$7:$E$26)+0.000000000001))-N285*SUMPRODUCT($G$7:$G$26,$E$7:$E$26)</f>
        <v>-2.04756726617461</v>
      </c>
      <c r="P285" s="9" t="n">
        <f aca="false">-0.5*((LN(N285)-LN($B$3))/$B$4)^2-LN(N285)</f>
        <v>-3.66524602486583</v>
      </c>
      <c r="Q285" s="9" t="n">
        <f aca="false">O285+P285</f>
        <v>-5.71281329104044</v>
      </c>
      <c r="R285" s="11" t="n">
        <f aca="false">EXP(Q285-MAX($Q$7:$Q$506))</f>
        <v>0.100204445877744</v>
      </c>
      <c r="S285" s="11" t="n">
        <f aca="false">SUM($R$7:R285)/SUM($R$7:$R$506)</f>
        <v>0.964263604128631</v>
      </c>
    </row>
    <row r="286" customFormat="false" ht="15" hidden="false" customHeight="false" outlineLevel="0" collapsed="false">
      <c r="N286" s="12" t="n">
        <f aca="false">N285+0.01</f>
        <v>2.83999999999998</v>
      </c>
      <c r="O286" s="9" t="n">
        <f aca="false">SUMPRODUCT($F$7:$F$26,LN(1-EXP(-N286*$E$7:$E$26)+0.000000000001))-N286*SUMPRODUCT($G$7:$G$26,$E$7:$E$26)</f>
        <v>-2.04900446481423</v>
      </c>
      <c r="P286" s="9" t="n">
        <f aca="false">-0.5*((LN(N286)-LN($B$3))/$B$4)^2-LN(N286)</f>
        <v>-3.68496246008923</v>
      </c>
      <c r="Q286" s="9" t="n">
        <f aca="false">O286+P286</f>
        <v>-5.73396692490346</v>
      </c>
      <c r="R286" s="11" t="n">
        <f aca="false">EXP(Q286-MAX($Q$7:$Q$506))</f>
        <v>0.0981070200192991</v>
      </c>
      <c r="S286" s="11" t="n">
        <f aca="false">SUM($R$7:R286)/SUM($R$7:$R$506)</f>
        <v>0.965032369634812</v>
      </c>
    </row>
    <row r="287" customFormat="false" ht="15" hidden="false" customHeight="false" outlineLevel="0" collapsed="false">
      <c r="N287" s="12" t="n">
        <f aca="false">N286+0.01</f>
        <v>2.84999999999998</v>
      </c>
      <c r="O287" s="9" t="n">
        <f aca="false">SUMPRODUCT($F$7:$F$26,LN(1-EXP(-N287*$E$7:$E$26)+0.000000000001))-N287*SUMPRODUCT($G$7:$G$26,$E$7:$E$26)</f>
        <v>-2.0504836273863</v>
      </c>
      <c r="P287" s="9" t="n">
        <f aca="false">-0.5*((LN(N287)-LN($B$3))/$B$4)^2-LN(N287)</f>
        <v>-3.70465909954412</v>
      </c>
      <c r="Q287" s="9" t="n">
        <f aca="false">O287+P287</f>
        <v>-5.75514272693042</v>
      </c>
      <c r="R287" s="11" t="n">
        <f aca="false">EXP(Q287-MAX($Q$7:$Q$506))</f>
        <v>0.0960513670508872</v>
      </c>
      <c r="S287" s="11" t="n">
        <f aca="false">SUM($R$7:R287)/SUM($R$7:$R$506)</f>
        <v>0.965785027067438</v>
      </c>
    </row>
    <row r="288" customFormat="false" ht="15" hidden="false" customHeight="false" outlineLevel="0" collapsed="false">
      <c r="N288" s="12" t="n">
        <f aca="false">N287+0.01</f>
        <v>2.85999999999998</v>
      </c>
      <c r="O288" s="9" t="n">
        <f aca="false">SUMPRODUCT($F$7:$F$26,LN(1-EXP(-N288*$E$7:$E$26)+0.000000000001))-N288*SUMPRODUCT($G$7:$G$26,$E$7:$E$26)</f>
        <v>-2.05200428169298</v>
      </c>
      <c r="P288" s="9" t="n">
        <f aca="false">-0.5*((LN(N288)-LN($B$3))/$B$4)^2-LN(N288)</f>
        <v>-3.7243359088059</v>
      </c>
      <c r="Q288" s="9" t="n">
        <f aca="false">O288+P288</f>
        <v>-5.77634019049888</v>
      </c>
      <c r="R288" s="11" t="n">
        <f aca="false">EXP(Q288-MAX($Q$7:$Q$506))</f>
        <v>0.0940367495234697</v>
      </c>
      <c r="S288" s="11" t="n">
        <f aca="false">SUM($R$7:R288)/SUM($R$7:$R$506)</f>
        <v>0.966521897979763</v>
      </c>
    </row>
    <row r="289" customFormat="false" ht="15" hidden="false" customHeight="false" outlineLevel="0" collapsed="false">
      <c r="N289" s="12" t="n">
        <f aca="false">N288+0.01</f>
        <v>2.86999999999998</v>
      </c>
      <c r="O289" s="9" t="n">
        <f aca="false">SUMPRODUCT($F$7:$F$26,LN(1-EXP(-N289*$E$7:$E$26)+0.000000000001))-N289*SUMPRODUCT($G$7:$G$26,$E$7:$E$26)</f>
        <v>-2.0535659616007</v>
      </c>
      <c r="P289" s="9" t="n">
        <f aca="false">-0.5*((LN(N289)-LN($B$3))/$B$4)^2-LN(N289)</f>
        <v>-3.7439928550167</v>
      </c>
      <c r="Q289" s="9" t="n">
        <f aca="false">O289+P289</f>
        <v>-5.7975588166174</v>
      </c>
      <c r="R289" s="11" t="n">
        <f aca="false">EXP(Q289-MAX($Q$7:$Q$506))</f>
        <v>0.0920624390458072</v>
      </c>
      <c r="S289" s="11" t="n">
        <f aca="false">SUM($R$7:R289)/SUM($R$7:$R$506)</f>
        <v>0.967243298217375</v>
      </c>
    </row>
    <row r="290" customFormat="false" ht="15" hidden="false" customHeight="false" outlineLevel="0" collapsed="false">
      <c r="N290" s="12" t="n">
        <f aca="false">N289+0.01</f>
        <v>2.87999999999998</v>
      </c>
      <c r="O290" s="9" t="n">
        <f aca="false">SUMPRODUCT($F$7:$F$26,LN(1-EXP(-N290*$E$7:$E$26)+0.000000000001))-N290*SUMPRODUCT($G$7:$G$26,$E$7:$E$26)</f>
        <v>-2.05516820694999</v>
      </c>
      <c r="P290" s="9" t="n">
        <f aca="false">-0.5*((LN(N290)-LN($B$3))/$B$4)^2-LN(N290)</f>
        <v>-3.76362990685104</v>
      </c>
      <c r="Q290" s="9" t="n">
        <f aca="false">O290+P290</f>
        <v>-5.81879811380104</v>
      </c>
      <c r="R290" s="11" t="n">
        <f aca="false">EXP(Q290-MAX($Q$7:$Q$506))</f>
        <v>0.0901277163487802</v>
      </c>
      <c r="S290" s="11" t="n">
        <f aca="false">SUM($R$7:R290)/SUM($R$7:$R$506)</f>
        <v>0.967949537989679</v>
      </c>
    </row>
    <row r="291" customFormat="false" ht="15" hidden="false" customHeight="false" outlineLevel="0" collapsed="false">
      <c r="N291" s="12" t="n">
        <f aca="false">N290+0.01</f>
        <v>2.88999999999998</v>
      </c>
      <c r="O291" s="9" t="n">
        <f aca="false">SUMPRODUCT($F$7:$F$26,LN(1-EXP(-N291*$E$7:$E$26)+0.000000000001))-N291*SUMPRODUCT($G$7:$G$26,$E$7:$E$26)</f>
        <v>-2.05681056346683</v>
      </c>
      <c r="P291" s="9" t="n">
        <f aca="false">-0.5*((LN(N291)-LN($B$3))/$B$4)^2-LN(N291)</f>
        <v>-3.78324703448222</v>
      </c>
      <c r="Q291" s="9" t="n">
        <f aca="false">O291+P291</f>
        <v>-5.84005759794905</v>
      </c>
      <c r="R291" s="11" t="n">
        <f aca="false">EXP(Q291-MAX($Q$7:$Q$506))</f>
        <v>0.088231871339428</v>
      </c>
      <c r="S291" s="11" t="n">
        <f aca="false">SUM($R$7:R291)/SUM($R$7:$R$506)</f>
        <v>0.968640921941798</v>
      </c>
    </row>
    <row r="292" customFormat="false" ht="15" hidden="false" customHeight="false" outlineLevel="0" collapsed="false">
      <c r="N292" s="12" t="n">
        <f aca="false">N291+0.01</f>
        <v>2.89999999999998</v>
      </c>
      <c r="O292" s="9" t="n">
        <f aca="false">SUMPRODUCT($F$7:$F$26,LN(1-EXP(-N292*$E$7:$E$26)+0.000000000001))-N292*SUMPRODUCT($G$7:$G$26,$E$7:$E$26)</f>
        <v>-2.0584925826755</v>
      </c>
      <c r="P292" s="9" t="n">
        <f aca="false">-0.5*((LN(N292)-LN($B$3))/$B$4)^2-LN(N292)</f>
        <v>-3.80284420954947</v>
      </c>
      <c r="Q292" s="9" t="n">
        <f aca="false">O292+P292</f>
        <v>-5.86133679222497</v>
      </c>
      <c r="R292" s="11" t="n">
        <f aca="false">EXP(Q292-MAX($Q$7:$Q$506))</f>
        <v>0.0863742031451916</v>
      </c>
      <c r="S292" s="11" t="n">
        <f aca="false">SUM($R$7:R292)/SUM($R$7:$R$506)</f>
        <v>0.969317749226827</v>
      </c>
    </row>
    <row r="293" customFormat="false" ht="15" hidden="false" customHeight="false" outlineLevel="0" collapsed="false">
      <c r="N293" s="12" t="n">
        <f aca="false">N292+0.01</f>
        <v>2.90999999999998</v>
      </c>
      <c r="O293" s="9" t="n">
        <f aca="false">SUMPRODUCT($F$7:$F$26,LN(1-EXP(-N293*$E$7:$E$26)+0.000000000001))-N293*SUMPRODUCT($G$7:$G$26,$E$7:$E$26)</f>
        <v>-2.06021382181302</v>
      </c>
      <c r="P293" s="9" t="n">
        <f aca="false">-0.5*((LN(N293)-LN($B$3))/$B$4)^2-LN(N293)</f>
        <v>-3.82242140512584</v>
      </c>
      <c r="Q293" s="9" t="n">
        <f aca="false">O293+P293</f>
        <v>-5.88263522693886</v>
      </c>
      <c r="R293" s="11" t="n">
        <f aca="false">EXP(Q293-MAX($Q$7:$Q$506))</f>
        <v>0.084554020148832</v>
      </c>
      <c r="S293" s="11" t="n">
        <f aca="false">SUM($R$7:R293)/SUM($R$7:$R$506)</f>
        <v>0.969980313578354</v>
      </c>
    </row>
    <row r="294" customFormat="false" ht="15" hidden="false" customHeight="false" outlineLevel="0" collapsed="false">
      <c r="N294" s="12" t="n">
        <f aca="false">N293+0.01</f>
        <v>2.91999999999998</v>
      </c>
      <c r="O294" s="9" t="n">
        <f aca="false">SUMPRODUCT($F$7:$F$26,LN(1-EXP(-N294*$E$7:$E$26)+0.000000000001))-N294*SUMPRODUCT($G$7:$G$26,$E$7:$E$26)</f>
        <v>-2.06197384374499</v>
      </c>
      <c r="P294" s="9" t="n">
        <f aca="false">-0.5*((LN(N294)-LN($B$3))/$B$4)^2-LN(N294)</f>
        <v>-3.84197859568682</v>
      </c>
      <c r="Q294" s="9" t="n">
        <f aca="false">O294+P294</f>
        <v>-5.9039524394318</v>
      </c>
      <c r="R294" s="11" t="n">
        <f aca="false">EXP(Q294-MAX($Q$7:$Q$506))</f>
        <v>0.0827706400144754</v>
      </c>
      <c r="S294" s="11" t="n">
        <f aca="false">SUM($R$7:R294)/SUM($R$7:$R$506)</f>
        <v>0.970628903383194</v>
      </c>
    </row>
    <row r="295" customFormat="false" ht="15" hidden="false" customHeight="false" outlineLevel="0" collapsed="false">
      <c r="N295" s="12" t="n">
        <f aca="false">N294+0.01</f>
        <v>2.92999999999998</v>
      </c>
      <c r="O295" s="9" t="n">
        <f aca="false">SUMPRODUCT($F$7:$F$26,LN(1-EXP(-N295*$E$7:$E$26)+0.000000000001))-N295*SUMPRODUCT($G$7:$G$26,$E$7:$E$26)</f>
        <v>-2.06377221688293</v>
      </c>
      <c r="P295" s="9" t="n">
        <f aca="false">-0.5*((LN(N295)-LN($B$3))/$B$4)^2-LN(N295)</f>
        <v>-3.86151575707963</v>
      </c>
      <c r="Q295" s="9" t="n">
        <f aca="false">O295+P295</f>
        <v>-5.92528797396256</v>
      </c>
      <c r="R295" s="11" t="n">
        <f aca="false">EXP(Q295-MAX($Q$7:$Q$506))</f>
        <v>0.0810233897052259</v>
      </c>
      <c r="S295" s="11" t="n">
        <f aca="false">SUM($R$7:R295)/SUM($R$7:$R$506)</f>
        <v>0.971263801754248</v>
      </c>
    </row>
    <row r="296" customFormat="false" ht="15" hidden="false" customHeight="false" outlineLevel="0" collapsed="false">
      <c r="N296" s="12" t="n">
        <f aca="false">N295+0.01</f>
        <v>2.93999999999998</v>
      </c>
      <c r="O296" s="9" t="n">
        <f aca="false">SUMPRODUCT($F$7:$F$26,LN(1-EXP(-N296*$E$7:$E$26)+0.000000000001))-N296*SUMPRODUCT($G$7:$G$26,$E$7:$E$26)</f>
        <v>-2.06560851510304</v>
      </c>
      <c r="P296" s="9" t="n">
        <f aca="false">-0.5*((LN(N296)-LN($B$3))/$B$4)^2-LN(N296)</f>
        <v>-3.88103286649319</v>
      </c>
      <c r="Q296" s="9" t="n">
        <f aca="false">O296+P296</f>
        <v>-5.94664138159622</v>
      </c>
      <c r="R296" s="11" t="n">
        <f aca="false">EXP(Q296-MAX($Q$7:$Q$506))</f>
        <v>0.0793116054927672</v>
      </c>
      <c r="S296" s="11" t="n">
        <f aca="false">SUM($R$7:R296)/SUM($R$7:$R$506)</f>
        <v>0.971885286603454</v>
      </c>
    </row>
    <row r="297" customFormat="false" ht="15" hidden="false" customHeight="false" outlineLevel="0" collapsed="false">
      <c r="N297" s="12" t="n">
        <f aca="false">N296+0.01</f>
        <v>2.94999999999998</v>
      </c>
      <c r="O297" s="9" t="n">
        <f aca="false">SUMPRODUCT($F$7:$F$26,LN(1-EXP(-N297*$E$7:$E$26)+0.000000000001))-N297*SUMPRODUCT($G$7:$G$26,$E$7:$E$26)</f>
        <v>-2.06748231766628</v>
      </c>
      <c r="P297" s="9" t="n">
        <f aca="false">-0.5*((LN(N297)-LN($B$3))/$B$4)^2-LN(N297)</f>
        <v>-3.90052990242877</v>
      </c>
      <c r="Q297" s="9" t="n">
        <f aca="false">O297+P297</f>
        <v>-5.96801222009504</v>
      </c>
      <c r="R297" s="11" t="n">
        <f aca="false">EXP(Q297-MAX($Q$7:$Q$506))</f>
        <v>0.0776346329593623</v>
      </c>
      <c r="S297" s="11" t="n">
        <f aca="false">SUM($R$7:R297)/SUM($R$7:$R$506)</f>
        <v>0.972493630714737</v>
      </c>
    </row>
    <row r="298" customFormat="false" ht="15" hidden="false" customHeight="false" outlineLevel="0" collapsed="false">
      <c r="N298" s="12" t="n">
        <f aca="false">N297+0.01</f>
        <v>2.95999999999998</v>
      </c>
      <c r="O298" s="9" t="n">
        <f aca="false">SUMPRODUCT($F$7:$F$26,LN(1-EXP(-N298*$E$7:$E$26)+0.000000000001))-N298*SUMPRODUCT($G$7:$G$26,$E$7:$E$26)</f>
        <v>-2.06939320913991</v>
      </c>
      <c r="P298" s="9" t="n">
        <f aca="false">-0.5*((LN(N298)-LN($B$3))/$B$4)^2-LN(N298)</f>
        <v>-3.92000684467128</v>
      </c>
      <c r="Q298" s="9" t="n">
        <f aca="false">O298+P298</f>
        <v>-5.98940005381119</v>
      </c>
      <c r="R298" s="11" t="n">
        <f aca="false">EXP(Q298-MAX($Q$7:$Q$506))</f>
        <v>0.0759918269926437</v>
      </c>
      <c r="S298" s="11" t="n">
        <f aca="false">SUM($R$7:R298)/SUM($R$7:$R$506)</f>
        <v>0.973089101816928</v>
      </c>
    </row>
    <row r="299" customFormat="false" ht="15" hidden="false" customHeight="false" outlineLevel="0" collapsed="false">
      <c r="N299" s="12" t="n">
        <f aca="false">N298+0.01</f>
        <v>2.96999999999998</v>
      </c>
      <c r="O299" s="9" t="n">
        <f aca="false">SUMPRODUCT($F$7:$F$26,LN(1-EXP(-N299*$E$7:$E$26)+0.000000000001))-N299*SUMPRODUCT($G$7:$G$26,$E$7:$E$26)</f>
        <v>-2.0713407793203</v>
      </c>
      <c r="P299" s="9" t="n">
        <f aca="false">-0.5*((LN(N299)-LN($B$3))/$B$4)^2-LN(N299)</f>
        <v>-3.93946367426119</v>
      </c>
      <c r="Q299" s="9" t="n">
        <f aca="false">O299+P299</f>
        <v>-6.01080445358149</v>
      </c>
      <c r="R299" s="11" t="n">
        <f aca="false">EXP(Q299-MAX($Q$7:$Q$506))</f>
        <v>0.0743825517735759</v>
      </c>
      <c r="S299" s="11" t="n">
        <f aca="false">SUM($R$7:R299)/SUM($R$7:$R$506)</f>
        <v>0.973671962656591</v>
      </c>
    </row>
    <row r="300" customFormat="false" ht="15" hidden="false" customHeight="false" outlineLevel="0" collapsed="false">
      <c r="N300" s="12" t="n">
        <f aca="false">N299+0.01</f>
        <v>2.97999999999998</v>
      </c>
      <c r="O300" s="9" t="n">
        <f aca="false">SUMPRODUCT($F$7:$F$26,LN(1-EXP(-N300*$E$7:$E$26)+0.000000000001))-N300*SUMPRODUCT($G$7:$G$26,$E$7:$E$26)</f>
        <v>-2.07332462315704</v>
      </c>
      <c r="P300" s="9" t="n">
        <f aca="false">-0.5*((LN(N300)-LN($B$3))/$B$4)^2-LN(N300)</f>
        <v>-3.95890037346709</v>
      </c>
      <c r="Q300" s="9" t="n">
        <f aca="false">O300+P300</f>
        <v>-6.03222499662413</v>
      </c>
      <c r="R300" s="11" t="n">
        <f aca="false">EXP(Q300-MAX($Q$7:$Q$506))</f>
        <v>0.0728061807579524</v>
      </c>
      <c r="S300" s="11" t="n">
        <f aca="false">SUM($R$7:R300)/SUM($R$7:$R$506)</f>
        <v>0.974242471070694</v>
      </c>
    </row>
    <row r="301" customFormat="false" ht="15" hidden="false" customHeight="false" outlineLevel="0" collapsed="false">
      <c r="N301" s="12" t="n">
        <f aca="false">N300+0.01</f>
        <v>2.98999999999998</v>
      </c>
      <c r="O301" s="9" t="n">
        <f aca="false">SUMPRODUCT($F$7:$F$26,LN(1-EXP(-N301*$E$7:$E$26)+0.000000000001))-N301*SUMPRODUCT($G$7:$G$26,$E$7:$E$26)</f>
        <v>-2.07534434067842</v>
      </c>
      <c r="P301" s="9" t="n">
        <f aca="false">-0.5*((LN(N301)-LN($B$3))/$B$4)^2-LN(N301)</f>
        <v>-3.97831692575876</v>
      </c>
      <c r="Q301" s="9" t="n">
        <f aca="false">O301+P301</f>
        <v>-6.05366126643717</v>
      </c>
      <c r="R301" s="11" t="n">
        <f aca="false">EXP(Q301-MAX($Q$7:$Q$506))</f>
        <v>0.0712620966517836</v>
      </c>
      <c r="S301" s="11" t="n">
        <f aca="false">SUM($R$7:R301)/SUM($R$7:$R$506)</f>
        <v>0.974800880059095</v>
      </c>
    </row>
    <row r="302" customFormat="false" ht="15" hidden="false" customHeight="false" outlineLevel="0" collapsed="false">
      <c r="N302" s="12" t="n">
        <f aca="false">N301+0.01</f>
        <v>2.99999999999998</v>
      </c>
      <c r="O302" s="9" t="n">
        <f aca="false">SUMPRODUCT($F$7:$F$26,LN(1-EXP(-N302*$E$7:$E$26)+0.000000000001))-N302*SUMPRODUCT($G$7:$G$26,$E$7:$E$26)</f>
        <v>-2.07739953691802</v>
      </c>
      <c r="P302" s="9" t="n">
        <f aca="false">-0.5*((LN(N302)-LN($B$3))/$B$4)^2-LN(N302)</f>
        <v>-3.99771331578099</v>
      </c>
      <c r="Q302" s="9" t="n">
        <f aca="false">O302+P302</f>
        <v>-6.07511285269901</v>
      </c>
      <c r="R302" s="11" t="n">
        <f aca="false">EXP(Q302-MAX($Q$7:$Q$506))</f>
        <v>0.0697496913809102</v>
      </c>
      <c r="S302" s="11" t="n">
        <f aca="false">SUM($R$7:R302)/SUM($R$7:$R$506)</f>
        <v>0.975347437856793</v>
      </c>
    </row>
    <row r="303" customFormat="false" ht="15" hidden="false" customHeight="false" outlineLevel="0" collapsed="false">
      <c r="N303" s="12" t="n">
        <f aca="false">N302+0.01</f>
        <v>3.00999999999998</v>
      </c>
      <c r="O303" s="9" t="n">
        <f aca="false">SUMPRODUCT($F$7:$F$26,LN(1-EXP(-N303*$E$7:$E$26)+0.000000000001))-N303*SUMPRODUCT($G$7:$G$26,$E$7:$E$26)</f>
        <v>-2.0794898218427</v>
      </c>
      <c r="P303" s="9" t="n">
        <f aca="false">-0.5*((LN(N303)-LN($B$3))/$B$4)^2-LN(N303)</f>
        <v>-4.01708952932781</v>
      </c>
      <c r="Q303" s="9" t="n">
        <f aca="false">O303+P303</f>
        <v>-6.09657935117051</v>
      </c>
      <c r="R303" s="11" t="n">
        <f aca="false">EXP(Q303-MAX($Q$7:$Q$506))</f>
        <v>0.0682683660551735</v>
      </c>
      <c r="S303" s="11" t="n">
        <f aca="false">SUM($R$7:R303)/SUM($R$7:$R$506)</f>
        <v>0.975882388005888</v>
      </c>
    </row>
    <row r="304" customFormat="false" ht="15" hidden="false" customHeight="false" outlineLevel="0" collapsed="false">
      <c r="N304" s="12" t="n">
        <f aca="false">N303+0.01</f>
        <v>3.01999999999998</v>
      </c>
      <c r="O304" s="9" t="n">
        <f aca="false">SUMPRODUCT($F$7:$F$26,LN(1-EXP(-N304*$E$7:$E$26)+0.000000000001))-N304*SUMPRODUCT($G$7:$G$26,$E$7:$E$26)</f>
        <v>-2.08161481028166</v>
      </c>
      <c r="P304" s="9" t="n">
        <f aca="false">-0.5*((LN(N304)-LN($B$3))/$B$4)^2-LN(N304)</f>
        <v>-4.03644555331737</v>
      </c>
      <c r="Q304" s="9" t="n">
        <f aca="false">O304+P304</f>
        <v>-6.11806036359903</v>
      </c>
      <c r="R304" s="11" t="n">
        <f aca="false">EXP(Q304-MAX($Q$7:$Q$506))</f>
        <v>0.0668175309274521</v>
      </c>
      <c r="S304" s="11" t="n">
        <f aca="false">SUM($R$7:R304)/SUM($R$7:$R$506)</f>
        <v>0.976405969427229</v>
      </c>
    </row>
    <row r="305" customFormat="false" ht="15" hidden="false" customHeight="false" outlineLevel="0" collapsed="false">
      <c r="N305" s="12" t="n">
        <f aca="false">N304+0.01</f>
        <v>3.02999999999998</v>
      </c>
      <c r="O305" s="9" t="n">
        <f aca="false">SUMPRODUCT($F$7:$F$26,LN(1-EXP(-N305*$E$7:$E$26)+0.000000000001))-N305*SUMPRODUCT($G$7:$G$26,$E$7:$E$26)</f>
        <v>-2.08377412185675</v>
      </c>
      <c r="P305" s="9" t="n">
        <f aca="false">-0.5*((LN(N305)-LN($B$3))/$B$4)^2-LN(N305)</f>
        <v>-4.05578137576737</v>
      </c>
      <c r="Q305" s="9" t="n">
        <f aca="false">O305+P305</f>
        <v>-6.13955549762412</v>
      </c>
      <c r="R305" s="11" t="n">
        <f aca="false">EXP(Q305-MAX($Q$7:$Q$506))</f>
        <v>0.0653966053478707</v>
      </c>
      <c r="S305" s="11" t="n">
        <f aca="false">SUM($R$7:R305)/SUM($R$7:$R$506)</f>
        <v>0.976918416491699</v>
      </c>
    </row>
    <row r="306" customFormat="false" ht="15" hidden="false" customHeight="false" outlineLevel="0" collapsed="false">
      <c r="N306" s="12" t="n">
        <f aca="false">N305+0.01</f>
        <v>3.03999999999998</v>
      </c>
      <c r="O306" s="9" t="n">
        <f aca="false">SUMPRODUCT($F$7:$F$26,LN(1-EXP(-N306*$E$7:$E$26)+0.000000000001))-N306*SUMPRODUCT($G$7:$G$26,$E$7:$E$26)</f>
        <v>-2.08596738091394</v>
      </c>
      <c r="P306" s="9" t="n">
        <f aca="false">-0.5*((LN(N306)-LN($B$3))/$B$4)^2-LN(N306)</f>
        <v>-4.07509698577095</v>
      </c>
      <c r="Q306" s="9" t="n">
        <f aca="false">O306+P306</f>
        <v>-6.16106436668489</v>
      </c>
      <c r="R306" s="11" t="n">
        <f aca="false">EXP(Q306-MAX($Q$7:$Q$506))</f>
        <v>0.0640050177134686</v>
      </c>
      <c r="S306" s="11" t="n">
        <f aca="false">SUM($R$7:R306)/SUM($R$7:$R$506)</f>
        <v>0.977419959091107</v>
      </c>
    </row>
    <row r="307" customFormat="false" ht="15" hidden="false" customHeight="false" outlineLevel="0" collapsed="false">
      <c r="N307" s="12" t="n">
        <f aca="false">N306+0.01</f>
        <v>3.04999999999998</v>
      </c>
      <c r="O307" s="9" t="n">
        <f aca="false">SUMPRODUCT($F$7:$F$26,LN(1-EXP(-N307*$E$7:$E$26)+0.000000000001))-N307*SUMPRODUCT($G$7:$G$26,$E$7:$E$26)</f>
        <v>-2.08819421645591</v>
      </c>
      <c r="P307" s="9" t="n">
        <f aca="false">-0.5*((LN(N307)-LN($B$3))/$B$4)^2-LN(N307)</f>
        <v>-4.09439237347318</v>
      </c>
      <c r="Q307" s="9" t="n">
        <f aca="false">O307+P307</f>
        <v>-6.18258658992909</v>
      </c>
      <c r="R307" s="11" t="n">
        <f aca="false">EXP(Q307-MAX($Q$7:$Q$506))</f>
        <v>0.0626422054136094</v>
      </c>
      <c r="S307" s="11" t="n">
        <f aca="false">SUM($R$7:R307)/SUM($R$7:$R$506)</f>
        <v>0.977910822708651</v>
      </c>
    </row>
    <row r="308" customFormat="false" ht="15" hidden="false" customHeight="false" outlineLevel="0" collapsed="false">
      <c r="N308" s="12" t="n">
        <f aca="false">N307+0.01</f>
        <v>3.05999999999998</v>
      </c>
      <c r="O308" s="9" t="n">
        <f aca="false">SUMPRODUCT($F$7:$F$26,LN(1-EXP(-N308*$E$7:$E$26)+0.000000000001))-N308*SUMPRODUCT($G$7:$G$26,$E$7:$E$26)</f>
        <v>-2.09045426207577</v>
      </c>
      <c r="P308" s="9" t="n">
        <f aca="false">-0.5*((LN(N308)-LN($B$3))/$B$4)^2-LN(N308)</f>
        <v>-4.11366753004804</v>
      </c>
      <c r="Q308" s="9" t="n">
        <f aca="false">O308+P308</f>
        <v>-6.20412179212381</v>
      </c>
      <c r="R308" s="11" t="n">
        <f aca="false">EXP(Q308-MAX($Q$7:$Q$506))</f>
        <v>0.0613076147713977</v>
      </c>
      <c r="S308" s="11" t="n">
        <f aca="false">SUM($R$7:R308)/SUM($R$7:$R$506)</f>
        <v>0.978391228488923</v>
      </c>
    </row>
    <row r="309" customFormat="false" ht="15" hidden="false" customHeight="false" outlineLevel="0" collapsed="false">
      <c r="N309" s="12" t="n">
        <f aca="false">N308+0.01</f>
        <v>3.06999999999998</v>
      </c>
      <c r="O309" s="9" t="n">
        <f aca="false">SUMPRODUCT($F$7:$F$26,LN(1-EXP(-N309*$E$7:$E$26)+0.000000000001))-N309*SUMPRODUCT($G$7:$G$26,$E$7:$E$26)</f>
        <v>-2.09274715589186</v>
      </c>
      <c r="P309" s="9" t="n">
        <f aca="false">-0.5*((LN(N309)-LN($B$3))/$B$4)^2-LN(N309)</f>
        <v>-4.13292244767584</v>
      </c>
      <c r="Q309" s="9" t="n">
        <f aca="false">O309+P309</f>
        <v>-6.2256696035677</v>
      </c>
      <c r="R309" s="11" t="n">
        <f aca="false">EXP(Q309-MAX($Q$7:$Q$506))</f>
        <v>0.0600007009813614</v>
      </c>
      <c r="S309" s="11" t="n">
        <f aca="false">SUM($R$7:R309)/SUM($R$7:$R$506)</f>
        <v>0.978861393307425</v>
      </c>
    </row>
    <row r="310" customFormat="false" ht="15" hidden="false" customHeight="false" outlineLevel="0" collapsed="false">
      <c r="N310" s="12" t="n">
        <f aca="false">N309+0.01</f>
        <v>3.07999999999998</v>
      </c>
      <c r="O310" s="9" t="n">
        <f aca="false">SUMPRODUCT($F$7:$F$26,LN(1-EXP(-N310*$E$7:$E$26)+0.000000000001))-N310*SUMPRODUCT($G$7:$G$26,$E$7:$E$26)</f>
        <v>-2.09507254048365</v>
      </c>
      <c r="P310" s="9" t="n">
        <f aca="false">-0.5*((LN(N310)-LN($B$3))/$B$4)^2-LN(N310)</f>
        <v>-4.15215711952122</v>
      </c>
      <c r="Q310" s="9" t="n">
        <f aca="false">O310+P310</f>
        <v>-6.24722966000486</v>
      </c>
      <c r="R310" s="11" t="n">
        <f aca="false">EXP(Q310-MAX($Q$7:$Q$506))</f>
        <v>0.0587209280436468</v>
      </c>
      <c r="S310" s="11" t="n">
        <f aca="false">SUM($R$7:R310)/SUM($R$7:$R$506)</f>
        <v>0.979321529839572</v>
      </c>
    </row>
    <row r="311" customFormat="false" ht="15" hidden="false" customHeight="false" outlineLevel="0" collapsed="false">
      <c r="N311" s="12" t="n">
        <f aca="false">N310+0.01</f>
        <v>3.08999999999998</v>
      </c>
      <c r="O311" s="9" t="n">
        <f aca="false">SUMPRODUCT($F$7:$F$26,LN(1-EXP(-N311*$E$7:$E$26)+0.000000000001))-N311*SUMPRODUCT($G$7:$G$26,$E$7:$E$26)</f>
        <v>-2.09743006282864</v>
      </c>
      <c r="P311" s="9" t="n">
        <f aca="false">-0.5*((LN(N311)-LN($B$3))/$B$4)^2-LN(N311)</f>
        <v>-4.17137153971151</v>
      </c>
      <c r="Q311" s="9" t="n">
        <f aca="false">O311+P311</f>
        <v>-6.26880160254015</v>
      </c>
      <c r="R311" s="11" t="n">
        <f aca="false">EXP(Q311-MAX($Q$7:$Q$506))</f>
        <v>0.057467768694962</v>
      </c>
      <c r="S311" s="11" t="n">
        <f aca="false">SUM($R$7:R311)/SUM($R$7:$R$506)</f>
        <v>0.979771846629147</v>
      </c>
    </row>
    <row r="312" customFormat="false" ht="15" hidden="false" customHeight="false" outlineLevel="0" collapsed="false">
      <c r="N312" s="12" t="n">
        <f aca="false">N311+0.01</f>
        <v>3.09999999999998</v>
      </c>
      <c r="O312" s="9" t="n">
        <f aca="false">SUMPRODUCT($F$7:$F$26,LN(1-EXP(-N312*$E$7:$E$26)+0.000000000001))-N312*SUMPRODUCT($G$7:$G$26,$E$7:$E$26)</f>
        <v>-2.0998193742404</v>
      </c>
      <c r="P312" s="9" t="n">
        <f aca="false">-0.5*((LN(N312)-LN($B$3))/$B$4)^2-LN(N312)</f>
        <v>-4.19056570331569</v>
      </c>
      <c r="Q312" s="9" t="n">
        <f aca="false">O312+P312</f>
        <v>-6.29038507755609</v>
      </c>
      <c r="R312" s="11" t="n">
        <f aca="false">EXP(Q312-MAX($Q$7:$Q$506))</f>
        <v>0.0562407043364971</v>
      </c>
      <c r="S312" s="11" t="n">
        <f aca="false">SUM($R$7:R312)/SUM($R$7:$R$506)</f>
        <v>0.980212548156201</v>
      </c>
    </row>
    <row r="313" customFormat="false" ht="15" hidden="false" customHeight="false" outlineLevel="0" collapsed="false">
      <c r="N313" s="12" t="n">
        <f aca="false">N312+0.01</f>
        <v>3.10999999999998</v>
      </c>
      <c r="O313" s="9" t="n">
        <f aca="false">SUMPRODUCT($F$7:$F$26,LN(1-EXP(-N313*$E$7:$E$26)+0.000000000001))-N313*SUMPRODUCT($G$7:$G$26,$E$7:$E$26)</f>
        <v>-2.10224013030745</v>
      </c>
      <c r="P313" s="9" t="n">
        <f aca="false">-0.5*((LN(N313)-LN($B$3))/$B$4)^2-LN(N313)</f>
        <v>-4.20973960632366</v>
      </c>
      <c r="Q313" s="9" t="n">
        <f aca="false">O313+P313</f>
        <v>-6.31197973663111</v>
      </c>
      <c r="R313" s="11" t="n">
        <f aca="false">EXP(Q313-MAX($Q$7:$Q$506))</f>
        <v>0.0550392249590389</v>
      </c>
      <c r="S313" s="11" t="n">
        <f aca="false">SUM($R$7:R313)/SUM($R$7:$R$506)</f>
        <v>0.980643834904358</v>
      </c>
    </row>
    <row r="314" customFormat="false" ht="15" hidden="false" customHeight="false" outlineLevel="0" collapsed="false">
      <c r="N314" s="12" t="n">
        <f aca="false">N313+0.01</f>
        <v>3.11999999999998</v>
      </c>
      <c r="O314" s="9" t="n">
        <f aca="false">SUMPRODUCT($F$7:$F$26,LN(1-EXP(-N314*$E$7:$E$26)+0.000000000001))-N314*SUMPRODUCT($G$7:$G$26,$E$7:$E$26)</f>
        <v>-2.10469199083335</v>
      </c>
      <c r="P314" s="9" t="n">
        <f aca="false">-0.5*((LN(N314)-LN($B$3))/$B$4)^2-LN(N314)</f>
        <v>-4.22889324562605</v>
      </c>
      <c r="Q314" s="9" t="n">
        <f aca="false">O314+P314</f>
        <v>-6.3335852364594</v>
      </c>
      <c r="R314" s="11" t="n">
        <f aca="false">EXP(Q314-MAX($Q$7:$Q$506))</f>
        <v>0.0538628290654866</v>
      </c>
      <c r="S314" s="11" t="n">
        <f aca="false">SUM($R$7:R314)/SUM($R$7:$R$506)</f>
        <v>0.981065903427515</v>
      </c>
    </row>
    <row r="315" customFormat="false" ht="15" hidden="false" customHeight="false" outlineLevel="0" collapsed="false">
      <c r="N315" s="12" t="n">
        <f aca="false">N314+0.01</f>
        <v>3.12999999999998</v>
      </c>
      <c r="O315" s="9" t="n">
        <f aca="false">SUMPRODUCT($F$7:$F$26,LN(1-EXP(-N315*$E$7:$E$26)+0.000000000001))-N315*SUMPRODUCT($G$7:$G$26,$E$7:$E$26)</f>
        <v>-2.10717461977756</v>
      </c>
      <c r="P315" s="9" t="n">
        <f aca="false">-0.5*((LN(N315)-LN($B$3))/$B$4)^2-LN(N315)</f>
        <v>-4.24802661899441</v>
      </c>
      <c r="Q315" s="9" t="n">
        <f aca="false">O315+P315</f>
        <v>-6.35520123877198</v>
      </c>
      <c r="R315" s="11" t="n">
        <f aca="false">EXP(Q315-MAX($Q$7:$Q$506))</f>
        <v>0.0527110235909713</v>
      </c>
      <c r="S315" s="11" t="n">
        <f aca="false">SUM($R$7:R315)/SUM($R$7:$R$506)</f>
        <v>0.98147894641592</v>
      </c>
    </row>
    <row r="316" customFormat="false" ht="15" hidden="false" customHeight="false" outlineLevel="0" collapsed="false">
      <c r="N316" s="12" t="n">
        <f aca="false">N315+0.01</f>
        <v>3.13999999999998</v>
      </c>
      <c r="O316" s="9" t="n">
        <f aca="false">SUMPRODUCT($F$7:$F$26,LN(1-EXP(-N316*$E$7:$E$26)+0.000000000001))-N316*SUMPRODUCT($G$7:$G$26,$E$7:$E$26)</f>
        <v>-2.1096876851974</v>
      </c>
      <c r="P316" s="9" t="n">
        <f aca="false">-0.5*((LN(N316)-LN($B$3))/$B$4)^2-LN(N316)</f>
        <v>-4.26713972506188</v>
      </c>
      <c r="Q316" s="9" t="n">
        <f aca="false">O316+P316</f>
        <v>-6.37682741025928</v>
      </c>
      <c r="R316" s="11" t="n">
        <f aca="false">EXP(Q316-MAX($Q$7:$Q$506))</f>
        <v>0.0515833238207679</v>
      </c>
      <c r="S316" s="11" t="n">
        <f aca="false">SUM($R$7:R316)/SUM($R$7:$R$506)</f>
        <v>0.9818831527616</v>
      </c>
    </row>
    <row r="317" customFormat="false" ht="15" hidden="false" customHeight="false" outlineLevel="0" collapsed="false">
      <c r="N317" s="12" t="n">
        <f aca="false">N316+0.01</f>
        <v>3.14999999999998</v>
      </c>
      <c r="O317" s="9" t="n">
        <f aca="false">SUMPRODUCT($F$7:$F$26,LN(1-EXP(-N317*$E$7:$E$26)+0.000000000001))-N317*SUMPRODUCT($G$7:$G$26,$E$7:$E$26)</f>
        <v>-2.11223085919087</v>
      </c>
      <c r="P317" s="9" t="n">
        <f aca="false">-0.5*((LN(N317)-LN($B$3))/$B$4)^2-LN(N317)</f>
        <v>-4.28623256330415</v>
      </c>
      <c r="Q317" s="9" t="n">
        <f aca="false">O317+P317</f>
        <v>-6.39846342249502</v>
      </c>
      <c r="R317" s="11" t="n">
        <f aca="false">EXP(Q317-MAX($Q$7:$Q$506))</f>
        <v>0.0504792533061837</v>
      </c>
      <c r="S317" s="11" t="n">
        <f aca="false">SUM($R$7:R317)/SUM($R$7:$R$506)</f>
        <v>0.982278707623138</v>
      </c>
    </row>
    <row r="318" customFormat="false" ht="15" hidden="false" customHeight="false" outlineLevel="0" collapsed="false">
      <c r="N318" s="12" t="n">
        <f aca="false">N317+0.01</f>
        <v>3.15999999999998</v>
      </c>
      <c r="O318" s="9" t="n">
        <f aca="false">SUMPRODUCT($F$7:$F$26,LN(1-EXP(-N318*$E$7:$E$26)+0.000000000001))-N318*SUMPRODUCT($G$7:$G$26,$E$7:$E$26)</f>
        <v>-2.11480381784044</v>
      </c>
      <c r="P318" s="9" t="n">
        <f aca="false">-0.5*((LN(N318)-LN($B$3))/$B$4)^2-LN(N318)</f>
        <v>-4.305305134021</v>
      </c>
      <c r="Q318" s="9" t="n">
        <f aca="false">O318+P318</f>
        <v>-6.42010895186144</v>
      </c>
      <c r="R318" s="11" t="n">
        <f aca="false">EXP(Q318-MAX($Q$7:$Q$506))</f>
        <v>0.0493983437785978</v>
      </c>
      <c r="S318" s="11" t="n">
        <f aca="false">SUM($R$7:R318)/SUM($R$7:$R$506)</f>
        <v>0.982665792489766</v>
      </c>
    </row>
    <row r="319" customFormat="false" ht="15" hidden="false" customHeight="false" outlineLevel="0" collapsed="false">
      <c r="N319" s="12" t="n">
        <f aca="false">N318+0.01</f>
        <v>3.16999999999998</v>
      </c>
      <c r="O319" s="9" t="n">
        <f aca="false">SUMPRODUCT($F$7:$F$26,LN(1-EXP(-N319*$E$7:$E$26)+0.000000000001))-N319*SUMPRODUCT($G$7:$G$26,$E$7:$E$26)</f>
        <v>-2.11740624115771</v>
      </c>
      <c r="P319" s="9" t="n">
        <f aca="false">-0.5*((LN(N319)-LN($B$3))/$B$4)^2-LN(N319)</f>
        <v>-4.32435743831804</v>
      </c>
      <c r="Q319" s="9" t="n">
        <f aca="false">O319+P319</f>
        <v>-6.44176367947575</v>
      </c>
      <c r="R319" s="11" t="n">
        <f aca="false">EXP(Q319-MAX($Q$7:$Q$506))</f>
        <v>0.048340135061818</v>
      </c>
      <c r="S319" s="11" t="n">
        <f aca="false">SUM($R$7:R319)/SUM($R$7:$R$506)</f>
        <v>0.983044585244784</v>
      </c>
    </row>
    <row r="320" customFormat="false" ht="15" hidden="false" customHeight="false" outlineLevel="0" collapsed="false">
      <c r="N320" s="12" t="n">
        <f aca="false">N319+0.01</f>
        <v>3.17999999999998</v>
      </c>
      <c r="O320" s="9" t="n">
        <f aca="false">SUMPRODUCT($F$7:$F$26,LN(1-EXP(-N320*$E$7:$E$26)+0.000000000001))-N320*SUMPRODUCT($G$7:$G$26,$E$7:$E$26)</f>
        <v>-2.12003781302896</v>
      </c>
      <c r="P320" s="9" t="n">
        <f aca="false">-0.5*((LN(N320)-LN($B$3))/$B$4)^2-LN(N320)</f>
        <v>-4.34338947808901</v>
      </c>
      <c r="Q320" s="9" t="n">
        <f aca="false">O320+P320</f>
        <v>-6.46342729111798</v>
      </c>
      <c r="R320" s="11" t="n">
        <f aca="false">EXP(Q320-MAX($Q$7:$Q$506))</f>
        <v>0.0473041749829163</v>
      </c>
      <c r="S320" s="11" t="n">
        <f aca="false">SUM($R$7:R320)/SUM($R$7:$R$506)</f>
        <v>0.983415260228267</v>
      </c>
    </row>
    <row r="321" customFormat="false" ht="15" hidden="false" customHeight="false" outlineLevel="0" collapsed="false">
      <c r="N321" s="12" t="n">
        <f aca="false">N320+0.01</f>
        <v>3.18999999999998</v>
      </c>
      <c r="O321" s="9" t="n">
        <f aca="false">SUMPRODUCT($F$7:$F$26,LN(1-EXP(-N321*$E$7:$E$26)+0.000000000001))-N321*SUMPRODUCT($G$7:$G$26,$E$7:$E$26)</f>
        <v>-2.12269822116162</v>
      </c>
      <c r="P321" s="9" t="n">
        <f aca="false">-0.5*((LN(N321)-LN($B$3))/$B$4)^2-LN(N321)</f>
        <v>-4.36240125599832</v>
      </c>
      <c r="Q321" s="9" t="n">
        <f aca="false">O321+P321</f>
        <v>-6.48509947715993</v>
      </c>
      <c r="R321" s="11" t="n">
        <f aca="false">EXP(Q321-MAX($Q$7:$Q$506))</f>
        <v>0.0462900192816932</v>
      </c>
      <c r="S321" s="11" t="n">
        <f aca="false">SUM($R$7:R321)/SUM($R$7:$R$506)</f>
        <v>0.983777988299074</v>
      </c>
    </row>
    <row r="322" customFormat="false" ht="15" hidden="false" customHeight="false" outlineLevel="0" collapsed="false">
      <c r="N322" s="12" t="n">
        <f aca="false">N321+0.01</f>
        <v>3.19999999999998</v>
      </c>
      <c r="O322" s="9" t="n">
        <f aca="false">SUMPRODUCT($F$7:$F$26,LN(1-EXP(-N322*$E$7:$E$26)+0.000000000001))-N322*SUMPRODUCT($G$7:$G$26,$E$7:$E$26)</f>
        <v>-2.12538715703148</v>
      </c>
      <c r="P322" s="9" t="n">
        <f aca="false">-0.5*((LN(N322)-LN($B$3))/$B$4)^2-LN(N322)</f>
        <v>-4.381392775464</v>
      </c>
      <c r="Q322" s="9" t="n">
        <f aca="false">O322+P322</f>
        <v>-6.50677993249548</v>
      </c>
      <c r="R322" s="11" t="n">
        <f aca="false">EXP(Q322-MAX($Q$7:$Q$506))</f>
        <v>0.0452972315189183</v>
      </c>
      <c r="S322" s="11" t="n">
        <f aca="false">SUM($R$7:R322)/SUM($R$7:$R$506)</f>
        <v>0.984132936896131</v>
      </c>
    </row>
    <row r="323" customFormat="false" ht="15" hidden="false" customHeight="false" outlineLevel="0" collapsed="false">
      <c r="N323" s="12" t="n">
        <f aca="false">N322+0.01</f>
        <v>3.20999999999998</v>
      </c>
      <c r="O323" s="9" t="n">
        <f aca="false">SUMPRODUCT($F$7:$F$26,LN(1-EXP(-N323*$E$7:$E$26)+0.000000000001))-N323*SUMPRODUCT($G$7:$G$26,$E$7:$E$26)</f>
        <v>-2.12810431583089</v>
      </c>
      <c r="P323" s="9" t="n">
        <f aca="false">-0.5*((LN(N323)-LN($B$3))/$B$4)^2-LN(N323)</f>
        <v>-4.40036404064109</v>
      </c>
      <c r="Q323" s="9" t="n">
        <f aca="false">O323+P323</f>
        <v>-6.52846835647198</v>
      </c>
      <c r="R323" s="11" t="n">
        <f aca="false">EXP(Q323-MAX($Q$7:$Q$506))</f>
        <v>0.0443253829834836</v>
      </c>
      <c r="S323" s="11" t="n">
        <f aca="false">SUM($R$7:R323)/SUM($R$7:$R$506)</f>
        <v>0.984480270098987</v>
      </c>
    </row>
    <row r="324" customFormat="false" ht="15" hidden="false" customHeight="false" outlineLevel="0" collapsed="false">
      <c r="N324" s="12" t="n">
        <f aca="false">N323+0.01</f>
        <v>3.21999999999998</v>
      </c>
      <c r="O324" s="9" t="n">
        <f aca="false">SUMPRODUCT($F$7:$F$26,LN(1-EXP(-N324*$E$7:$E$26)+0.000000000001))-N324*SUMPRODUCT($G$7:$G$26,$E$7:$E$26)</f>
        <v>-2.13084939641767</v>
      </c>
      <c r="P324" s="9" t="n">
        <f aca="false">-0.5*((LN(N324)-LN($B$3))/$B$4)^2-LN(N324)</f>
        <v>-4.41931505640521</v>
      </c>
      <c r="Q324" s="9" t="n">
        <f aca="false">O324+P324</f>
        <v>-6.55016445282288</v>
      </c>
      <c r="R324" s="11" t="n">
        <f aca="false">EXP(Q324-MAX($Q$7:$Q$506))</f>
        <v>0.0433740525986039</v>
      </c>
      <c r="S324" s="11" t="n">
        <f aca="false">SUM($R$7:R324)/SUM($R$7:$R$506)</f>
        <v>0.98482014868764</v>
      </c>
    </row>
    <row r="325" customFormat="false" ht="15" hidden="false" customHeight="false" outlineLevel="0" collapsed="false">
      <c r="N325" s="12" t="n">
        <f aca="false">N324+0.01</f>
        <v>3.22999999999998</v>
      </c>
      <c r="O325" s="9" t="n">
        <f aca="false">SUMPRODUCT($F$7:$F$26,LN(1-EXP(-N325*$E$7:$E$26)+0.000000000001))-N325*SUMPRODUCT($G$7:$G$26,$E$7:$E$26)</f>
        <v>-2.13362210126484</v>
      </c>
      <c r="P325" s="9" t="n">
        <f aca="false">-0.5*((LN(N325)-LN($B$3))/$B$4)^2-LN(N325)</f>
        <v>-4.43824582833665</v>
      </c>
      <c r="Q325" s="9" t="n">
        <f aca="false">O325+P325</f>
        <v>-6.57186792960149</v>
      </c>
      <c r="R325" s="11" t="n">
        <f aca="false">EXP(Q325-MAX($Q$7:$Q$506))</f>
        <v>0.0424428268271876</v>
      </c>
      <c r="S325" s="11" t="n">
        <f aca="false">SUM($R$7:R325)/SUM($R$7:$R$506)</f>
        <v>0.985152730201615</v>
      </c>
    </row>
    <row r="326" customFormat="false" ht="15" hidden="false" customHeight="false" outlineLevel="0" collapsed="false">
      <c r="N326" s="12" t="n">
        <f aca="false">N325+0.01</f>
        <v>3.23999999999998</v>
      </c>
      <c r="O326" s="9" t="n">
        <f aca="false">SUMPRODUCT($F$7:$F$26,LN(1-EXP(-N326*$E$7:$E$26)+0.000000000001))-N326*SUMPRODUCT($G$7:$G$26,$E$7:$E$26)</f>
        <v>-2.13642213641121</v>
      </c>
      <c r="P326" s="9" t="n">
        <f aca="false">-0.5*((LN(N326)-LN($B$3))/$B$4)^2-LN(N326)</f>
        <v>-4.45715636270465</v>
      </c>
      <c r="Q326" s="9" t="n">
        <f aca="false">O326+P326</f>
        <v>-6.59357849911587</v>
      </c>
      <c r="R326" s="11" t="n">
        <f aca="false">EXP(Q326-MAX($Q$7:$Q$506))</f>
        <v>0.0415312995765</v>
      </c>
      <c r="S326" s="11" t="n">
        <f aca="false">SUM($R$7:R326)/SUM($R$7:$R$506)</f>
        <v>0.985478168998299</v>
      </c>
    </row>
    <row r="327" customFormat="false" ht="15" hidden="false" customHeight="false" outlineLevel="0" collapsed="false">
      <c r="N327" s="12" t="n">
        <f aca="false">N326+0.01</f>
        <v>3.24999999999997</v>
      </c>
      <c r="O327" s="9" t="n">
        <f aca="false">SUMPRODUCT($F$7:$F$26,LN(1-EXP(-N327*$E$7:$E$26)+0.000000000001))-N327*SUMPRODUCT($G$7:$G$26,$E$7:$E$26)</f>
        <v>-2.13924921141268</v>
      </c>
      <c r="P327" s="9" t="n">
        <f aca="false">-0.5*((LN(N327)-LN($B$3))/$B$4)^2-LN(N327)</f>
        <v>-4.47604666645213</v>
      </c>
      <c r="Q327" s="9" t="n">
        <f aca="false">O327+P327</f>
        <v>-6.61529587786482</v>
      </c>
      <c r="R327" s="11" t="n">
        <f aca="false">EXP(Q327-MAX($Q$7:$Q$506))</f>
        <v>0.0406390721022312</v>
      </c>
      <c r="S327" s="11" t="n">
        <f aca="false">SUM($R$7:R327)/SUM($R$7:$R$506)</f>
        <v>0.985796616310522</v>
      </c>
    </row>
    <row r="328" customFormat="false" ht="15" hidden="false" customHeight="false" outlineLevel="0" collapsed="false">
      <c r="N328" s="12" t="n">
        <f aca="false">N327+0.01</f>
        <v>3.25999999999997</v>
      </c>
      <c r="O328" s="9" t="n">
        <f aca="false">SUMPRODUCT($F$7:$F$26,LN(1-EXP(-N328*$E$7:$E$26)+0.000000000001))-N328*SUMPRODUCT($G$7:$G$26,$E$7:$E$26)</f>
        <v>-2.14210303929433</v>
      </c>
      <c r="P328" s="9" t="n">
        <f aca="false">-0.5*((LN(N328)-LN($B$3))/$B$4)^2-LN(N328)</f>
        <v>-4.49491674718063</v>
      </c>
      <c r="Q328" s="9" t="n">
        <f aca="false">O328+P328</f>
        <v>-6.63701978647496</v>
      </c>
      <c r="R328" s="11" t="n">
        <f aca="false">EXP(Q328-MAX($Q$7:$Q$506))</f>
        <v>0.0397657529120782</v>
      </c>
      <c r="S328" s="11" t="n">
        <f aca="false">SUM($R$7:R328)/SUM($R$7:$R$506)</f>
        <v>0.986108220303387</v>
      </c>
    </row>
    <row r="329" customFormat="false" ht="15" hidden="false" customHeight="false" outlineLevel="0" collapsed="false">
      <c r="N329" s="12" t="n">
        <f aca="false">N328+0.01</f>
        <v>3.26999999999997</v>
      </c>
      <c r="O329" s="9" t="n">
        <f aca="false">SUMPRODUCT($F$7:$F$26,LN(1-EXP(-N329*$E$7:$E$26)+0.000000000001))-N329*SUMPRODUCT($G$7:$G$26,$E$7:$E$26)</f>
        <v>-2.14498333650327</v>
      </c>
      <c r="P329" s="9" t="n">
        <f aca="false">-0.5*((LN(N329)-LN($B$3))/$B$4)^2-LN(N329)</f>
        <v>-4.51376661313562</v>
      </c>
      <c r="Q329" s="9" t="n">
        <f aca="false">O329+P329</f>
        <v>-6.65874994963888</v>
      </c>
      <c r="R329" s="11" t="n">
        <f aca="false">EXP(Q329-MAX($Q$7:$Q$506))</f>
        <v>0.0389109576689425</v>
      </c>
      <c r="S329" s="11" t="n">
        <f aca="false">SUM($R$7:R329)/SUM($R$7:$R$506)</f>
        <v>0.986413126130335</v>
      </c>
    </row>
    <row r="330" customFormat="false" ht="15" hidden="false" customHeight="false" outlineLevel="0" collapsed="false">
      <c r="N330" s="12" t="n">
        <f aca="false">N329+0.01</f>
        <v>3.27999999999997</v>
      </c>
      <c r="O330" s="9" t="n">
        <f aca="false">SUMPRODUCT($F$7:$F$26,LN(1-EXP(-N330*$E$7:$E$26)+0.000000000001))-N330*SUMPRODUCT($G$7:$G$26,$E$7:$E$26)</f>
        <v>-2.14788982286219</v>
      </c>
      <c r="P330" s="9" t="n">
        <f aca="false">-0.5*((LN(N330)-LN($B$3))/$B$4)^2-LN(N330)</f>
        <v>-4.53259627319212</v>
      </c>
      <c r="Q330" s="9" t="n">
        <f aca="false">O330+P330</f>
        <v>-6.68048609605431</v>
      </c>
      <c r="R330" s="11" t="n">
        <f aca="false">EXP(Q330-MAX($Q$7:$Q$506))</f>
        <v>0.0380743090938428</v>
      </c>
      <c r="S330" s="11" t="n">
        <f aca="false">SUM($R$7:R330)/SUM($R$7:$R$506)</f>
        <v>0.986711475988452</v>
      </c>
    </row>
    <row r="331" customFormat="false" ht="15" hidden="false" customHeight="false" outlineLevel="0" collapsed="false">
      <c r="N331" s="12" t="n">
        <f aca="false">N330+0.01</f>
        <v>3.28999999999997</v>
      </c>
      <c r="O331" s="9" t="n">
        <f aca="false">SUMPRODUCT($F$7:$F$26,LN(1-EXP(-N331*$E$7:$E$26)+0.000000000001))-N331*SUMPRODUCT($G$7:$G$26,$E$7:$E$26)</f>
        <v>-2.1508222215237</v>
      </c>
      <c r="P331" s="9" t="n">
        <f aca="false">-0.5*((LN(N331)-LN($B$3))/$B$4)^2-LN(N331)</f>
        <v>-4.55140573684063</v>
      </c>
      <c r="Q331" s="9" t="n">
        <f aca="false">O331+P331</f>
        <v>-6.70222795836433</v>
      </c>
      <c r="R331" s="11" t="n">
        <f aca="false">EXP(Q331-MAX($Q$7:$Q$506))</f>
        <v>0.0372554368686333</v>
      </c>
      <c r="S331" s="11" t="n">
        <f aca="false">SUM($R$7:R331)/SUM($R$7:$R$506)</f>
        <v>0.987003409173016</v>
      </c>
    </row>
    <row r="332" customFormat="false" ht="15" hidden="false" customHeight="false" outlineLevel="0" collapsed="false">
      <c r="N332" s="12" t="n">
        <f aca="false">N331+0.01</f>
        <v>3.29999999999997</v>
      </c>
      <c r="O332" s="9" t="n">
        <f aca="false">SUMPRODUCT($F$7:$F$26,LN(1-EXP(-N332*$E$7:$E$26)+0.000000000001))-N332*SUMPRODUCT($G$7:$G$26,$E$7:$E$26)</f>
        <v>-2.1537802589253</v>
      </c>
      <c r="P332" s="9" t="n">
        <f aca="false">-0.5*((LN(N332)-LN($B$3))/$B$4)^2-LN(N332)</f>
        <v>-4.57019501417326</v>
      </c>
      <c r="Q332" s="9" t="n">
        <f aca="false">O332+P332</f>
        <v>-6.72397527309856</v>
      </c>
      <c r="R332" s="11" t="n">
        <f aca="false">EXP(Q332-MAX($Q$7:$Q$506))</f>
        <v>0.0364539775386178</v>
      </c>
      <c r="S332" s="11" t="n">
        <f aca="false">SUM($R$7:R332)/SUM($R$7:$R$506)</f>
        <v>0.987289062131279</v>
      </c>
    </row>
    <row r="333" customFormat="false" ht="15" hidden="false" customHeight="false" outlineLevel="0" collapsed="false">
      <c r="N333" s="12" t="n">
        <f aca="false">N332+0.01</f>
        <v>3.30999999999997</v>
      </c>
      <c r="O333" s="9" t="n">
        <f aca="false">SUMPRODUCT($F$7:$F$26,LN(1-EXP(-N333*$E$7:$E$26)+0.000000000001))-N333*SUMPRODUCT($G$7:$G$26,$E$7:$E$26)</f>
        <v>-2.15676366474512</v>
      </c>
      <c r="P333" s="9" t="n">
        <f aca="false">-0.5*((LN(N333)-LN($B$3))/$B$4)^2-LN(N333)</f>
        <v>-4.58896411587026</v>
      </c>
      <c r="Q333" s="9" t="n">
        <f aca="false">O333+P333</f>
        <v>-6.74572778061538</v>
      </c>
      <c r="R333" s="11" t="n">
        <f aca="false">EXP(Q333-MAX($Q$7:$Q$506))</f>
        <v>0.0356695744151393</v>
      </c>
      <c r="S333" s="11" t="n">
        <f aca="false">SUM($R$7:R333)/SUM($R$7:$R$506)</f>
        <v>0.987568568515482</v>
      </c>
    </row>
    <row r="334" customFormat="false" ht="15" hidden="false" customHeight="false" outlineLevel="0" collapsed="false">
      <c r="N334" s="12" t="n">
        <f aca="false">N333+0.01</f>
        <v>3.31999999999997</v>
      </c>
      <c r="O334" s="9" t="n">
        <f aca="false">SUMPRODUCT($F$7:$F$26,LN(1-EXP(-N334*$E$7:$E$26)+0.000000000001))-N334*SUMPRODUCT($G$7:$G$26,$E$7:$E$26)</f>
        <v>-2.15977217185829</v>
      </c>
      <c r="P334" s="9" t="n">
        <f aca="false">-0.5*((LN(N334)-LN($B$3))/$B$4)^2-LN(N334)</f>
        <v>-4.60771305318677</v>
      </c>
      <c r="Q334" s="9" t="n">
        <f aca="false">O334+P334</f>
        <v>-6.76748522504506</v>
      </c>
      <c r="R334" s="11" t="n">
        <f aca="false">EXP(Q334-MAX($Q$7:$Q$506))</f>
        <v>0.0349018774782275</v>
      </c>
      <c r="S334" s="11" t="n">
        <f aca="false">SUM($R$7:R334)/SUM($R$7:$R$506)</f>
        <v>0.987842059235116</v>
      </c>
    </row>
    <row r="335" customFormat="false" ht="15" hidden="false" customHeight="false" outlineLevel="0" collapsed="false">
      <c r="N335" s="12" t="n">
        <f aca="false">N334+0.01</f>
        <v>3.32999999999997</v>
      </c>
      <c r="O335" s="9" t="n">
        <f aca="false">SUMPRODUCT($F$7:$F$26,LN(1-EXP(-N335*$E$7:$E$26)+0.000000000001))-N335*SUMPRODUCT($G$7:$G$26,$E$7:$E$26)</f>
        <v>-2.16280551629402</v>
      </c>
      <c r="P335" s="9" t="n">
        <f aca="false">-0.5*((LN(N335)-LN($B$3))/$B$4)^2-LN(N335)</f>
        <v>-4.62644183793988</v>
      </c>
      <c r="Q335" s="9" t="n">
        <f aca="false">O335+P335</f>
        <v>-6.7892473542339</v>
      </c>
      <c r="R335" s="11" t="n">
        <f aca="false">EXP(Q335-MAX($Q$7:$Q$506))</f>
        <v>0.0341505432793762</v>
      </c>
      <c r="S335" s="11" t="n">
        <f aca="false">SUM($R$7:R335)/SUM($R$7:$R$506)</f>
        <v>0.988109662508412</v>
      </c>
    </row>
    <row r="336" customFormat="false" ht="15" hidden="false" customHeight="false" outlineLevel="0" collapsed="false">
      <c r="N336" s="12" t="n">
        <f aca="false">N335+0.01</f>
        <v>3.33999999999997</v>
      </c>
      <c r="O336" s="9" t="n">
        <f aca="false">SUMPRODUCT($F$7:$F$26,LN(1-EXP(-N336*$E$7:$E$26)+0.000000000001))-N336*SUMPRODUCT($G$7:$G$26,$E$7:$E$26)</f>
        <v>-2.16586343719331</v>
      </c>
      <c r="P336" s="9" t="n">
        <f aca="false">-0.5*((LN(N336)-LN($B$3))/$B$4)^2-LN(N336)</f>
        <v>-4.64515048249586</v>
      </c>
      <c r="Q336" s="9" t="n">
        <f aca="false">O336+P336</f>
        <v>-6.81101391968917</v>
      </c>
      <c r="R336" s="11" t="n">
        <f aca="false">EXP(Q336-MAX($Q$7:$Q$506))</f>
        <v>0.0334152348445208</v>
      </c>
      <c r="S336" s="11" t="n">
        <f aca="false">SUM($R$7:R336)/SUM($R$7:$R$506)</f>
        <v>0.988371503913078</v>
      </c>
    </row>
    <row r="337" customFormat="false" ht="15" hidden="false" customHeight="false" outlineLevel="0" collapsed="false">
      <c r="N337" s="12" t="n">
        <f aca="false">N336+0.01</f>
        <v>3.34999999999997</v>
      </c>
      <c r="O337" s="9" t="n">
        <f aca="false">SUMPRODUCT($F$7:$F$26,LN(1-EXP(-N337*$E$7:$E$26)+0.000000000001))-N337*SUMPRODUCT($G$7:$G$26,$E$7:$E$26)</f>
        <v>-2.16894567676736</v>
      </c>
      <c r="P337" s="9" t="n">
        <f aca="false">-0.5*((LN(N337)-LN($B$3))/$B$4)^2-LN(N337)</f>
        <v>-4.6638389997578</v>
      </c>
      <c r="Q337" s="9" t="n">
        <f aca="false">O337+P337</f>
        <v>-6.83278467652516</v>
      </c>
      <c r="R337" s="11" t="n">
        <f aca="false">EXP(Q337-MAX($Q$7:$Q$506))</f>
        <v>0.0326956215772836</v>
      </c>
      <c r="S337" s="11" t="n">
        <f aca="false">SUM($R$7:R337)/SUM($R$7:$R$506)</f>
        <v>0.98862770643627</v>
      </c>
    </row>
    <row r="338" customFormat="false" ht="15" hidden="false" customHeight="false" outlineLevel="0" collapsed="false">
      <c r="N338" s="12" t="n">
        <f aca="false">N337+0.01</f>
        <v>3.35999999999997</v>
      </c>
      <c r="O338" s="9" t="n">
        <f aca="false">SUMPRODUCT($F$7:$F$26,LN(1-EXP(-N338*$E$7:$E$26)+0.000000000001))-N338*SUMPRODUCT($G$7:$G$26,$E$7:$E$26)</f>
        <v>-2.17205198025654</v>
      </c>
      <c r="P338" s="9" t="n">
        <f aca="false">-0.5*((LN(N338)-LN($B$3))/$B$4)^2-LN(N338)</f>
        <v>-4.68250740315338</v>
      </c>
      <c r="Q338" s="9" t="n">
        <f aca="false">O338+P338</f>
        <v>-6.85455938340992</v>
      </c>
      <c r="R338" s="11" t="n">
        <f aca="false">EXP(Q338-MAX($Q$7:$Q$506))</f>
        <v>0.0319913791625475</v>
      </c>
      <c r="S338" s="11" t="n">
        <f aca="false">SUM($R$7:R338)/SUM($R$7:$R$506)</f>
        <v>0.988878390523815</v>
      </c>
    </row>
    <row r="339" customFormat="false" ht="15" hidden="false" customHeight="false" outlineLevel="0" collapsed="false">
      <c r="N339" s="12" t="n">
        <f aca="false">N338+0.01</f>
        <v>3.36999999999997</v>
      </c>
      <c r="O339" s="9" t="n">
        <f aca="false">SUMPRODUCT($F$7:$F$26,LN(1-EXP(-N339*$E$7:$E$26)+0.000000000001))-N339*SUMPRODUCT($G$7:$G$26,$E$7:$E$26)</f>
        <v>-2.17518209589006</v>
      </c>
      <c r="P339" s="9" t="n">
        <f aca="false">-0.5*((LN(N339)-LN($B$3))/$B$4)^2-LN(N339)</f>
        <v>-4.70115570662297</v>
      </c>
      <c r="Q339" s="9" t="n">
        <f aca="false">O339+P339</f>
        <v>-6.87633780251303</v>
      </c>
      <c r="R339" s="11" t="n">
        <f aca="false">EXP(Q339-MAX($Q$7:$Q$506))</f>
        <v>0.0313021894704183</v>
      </c>
      <c r="S339" s="11" t="n">
        <f aca="false">SUM($R$7:R339)/SUM($R$7:$R$506)</f>
        <v>0.989123674128679</v>
      </c>
    </row>
    <row r="340" customFormat="false" ht="15" hidden="false" customHeight="false" outlineLevel="0" collapsed="false">
      <c r="N340" s="12" t="n">
        <f aca="false">N339+0.01</f>
        <v>3.37999999999997</v>
      </c>
      <c r="O340" s="9" t="n">
        <f aca="false">SUMPRODUCT($F$7:$F$26,LN(1-EXP(-N340*$E$7:$E$26)+0.000000000001))-N340*SUMPRODUCT($G$7:$G$26,$E$7:$E$26)</f>
        <v>-2.17833577484622</v>
      </c>
      <c r="P340" s="9" t="n">
        <f aca="false">-0.5*((LN(N340)-LN($B$3))/$B$4)^2-LN(N340)</f>
        <v>-4.71978392460789</v>
      </c>
      <c r="Q340" s="9" t="n">
        <f aca="false">O340+P340</f>
        <v>-6.89811969945412</v>
      </c>
      <c r="R340" s="11" t="n">
        <f aca="false">EXP(Q340-MAX($Q$7:$Q$506))</f>
        <v>0.0306277404606299</v>
      </c>
      <c r="S340" s="11" t="n">
        <f aca="false">SUM($R$7:R340)/SUM($R$7:$R$506)</f>
        <v>0.989363672758683</v>
      </c>
    </row>
    <row r="341" customFormat="false" ht="15" hidden="false" customHeight="false" outlineLevel="0" collapsed="false">
      <c r="N341" s="12" t="n">
        <f aca="false">N340+0.01</f>
        <v>3.38999999999997</v>
      </c>
      <c r="O341" s="9" t="n">
        <f aca="false">SUMPRODUCT($F$7:$F$26,LN(1-EXP(-N341*$E$7:$E$26)+0.000000000001))-N341*SUMPRODUCT($G$7:$G$26,$E$7:$E$26)</f>
        <v>-2.18151277121327</v>
      </c>
      <c r="P341" s="9" t="n">
        <f aca="false">-0.5*((LN(N341)-LN($B$3))/$B$4)^2-LN(N341)</f>
        <v>-4.73839207203903</v>
      </c>
      <c r="Q341" s="9" t="n">
        <f aca="false">O341+P341</f>
        <v>-6.9199048432523</v>
      </c>
      <c r="R341" s="11" t="n">
        <f aca="false">EXP(Q341-MAX($Q$7:$Q$506))</f>
        <v>0.029967726087445</v>
      </c>
      <c r="S341" s="11" t="n">
        <f aca="false">SUM($R$7:R341)/SUM($R$7:$R$506)</f>
        <v>0.989598499523478</v>
      </c>
    </row>
    <row r="342" customFormat="false" ht="15" hidden="false" customHeight="false" outlineLevel="0" collapsed="false">
      <c r="N342" s="12" t="n">
        <f aca="false">N341+0.01</f>
        <v>3.39999999999997</v>
      </c>
      <c r="O342" s="9" t="n">
        <f aca="false">SUMPRODUCT($F$7:$F$26,LN(1-EXP(-N342*$E$7:$E$26)+0.000000000001))-N342*SUMPRODUCT($G$7:$G$26,$E$7:$E$26)</f>
        <v>-2.18471284195085</v>
      </c>
      <c r="P342" s="9" t="n">
        <f aca="false">-0.5*((LN(N342)-LN($B$3))/$B$4)^2-LN(N342)</f>
        <v>-4.75698016432556</v>
      </c>
      <c r="Q342" s="9" t="n">
        <f aca="false">O342+P342</f>
        <v>-6.94169300627641</v>
      </c>
      <c r="R342" s="11" t="n">
        <f aca="false">EXP(Q342-MAX($Q$7:$Q$506))</f>
        <v>0.029321846205099</v>
      </c>
      <c r="S342" s="11" t="n">
        <f aca="false">SUM($R$7:R342)/SUM($R$7:$R$506)</f>
        <v>0.989828265180773</v>
      </c>
    </row>
    <row r="343" customFormat="false" ht="15" hidden="false" customHeight="false" outlineLevel="0" collapsed="false">
      <c r="N343" s="12" t="n">
        <f aca="false">N342+0.01</f>
        <v>3.40999999999997</v>
      </c>
      <c r="O343" s="9" t="n">
        <f aca="false">SUMPRODUCT($F$7:$F$26,LN(1-EXP(-N343*$E$7:$E$26)+0.000000000001))-N343*SUMPRODUCT($G$7:$G$26,$E$7:$E$26)</f>
        <v>-2.18793574685206</v>
      </c>
      <c r="P343" s="9" t="n">
        <f aca="false">-0.5*((LN(N343)-LN($B$3))/$B$4)^2-LN(N343)</f>
        <v>-4.775548217344</v>
      </c>
      <c r="Q343" s="9" t="n">
        <f aca="false">O343+P343</f>
        <v>-6.96348396419606</v>
      </c>
      <c r="R343" s="11" t="n">
        <f aca="false">EXP(Q343-MAX($Q$7:$Q$506))</f>
        <v>0.0286898064738332</v>
      </c>
      <c r="S343" s="11" t="n">
        <f aca="false">SUM($R$7:R343)/SUM($R$7:$R$506)</f>
        <v>0.990053078181838</v>
      </c>
    </row>
    <row r="344" customFormat="false" ht="15" hidden="false" customHeight="false" outlineLevel="0" collapsed="false">
      <c r="N344" s="12" t="n">
        <f aca="false">N343+0.01</f>
        <v>3.41999999999997</v>
      </c>
      <c r="O344" s="9" t="n">
        <f aca="false">SUMPRODUCT($F$7:$F$26,LN(1-EXP(-N344*$E$7:$E$26)+0.000000000001))-N344*SUMPRODUCT($G$7:$G$26,$E$7:$E$26)</f>
        <v>-2.19118124850603</v>
      </c>
      <c r="P344" s="9" t="n">
        <f aca="false">-0.5*((LN(N344)-LN($B$3))/$B$4)^2-LN(N344)</f>
        <v>-4.79409624742743</v>
      </c>
      <c r="Q344" s="9" t="n">
        <f aca="false">O344+P344</f>
        <v>-6.98527749593347</v>
      </c>
      <c r="R344" s="11" t="n">
        <f aca="false">EXP(Q344-MAX($Q$7:$Q$506))</f>
        <v>0.0280713182665606</v>
      </c>
      <c r="S344" s="11" t="n">
        <f aca="false">SUM($R$7:R344)/SUM($R$7:$R$506)</f>
        <v>0.990273044716263</v>
      </c>
    </row>
    <row r="345" customFormat="false" ht="15" hidden="false" customHeight="false" outlineLevel="0" collapsed="false">
      <c r="N345" s="12" t="n">
        <f aca="false">N344+0.01</f>
        <v>3.42999999999997</v>
      </c>
      <c r="O345" s="9" t="n">
        <f aca="false">SUMPRODUCT($F$7:$F$26,LN(1-EXP(-N345*$E$7:$E$26)+0.000000000001))-N345*SUMPRODUCT($G$7:$G$26,$E$7:$E$26)</f>
        <v>-2.19444911226115</v>
      </c>
      <c r="P345" s="9" t="n">
        <f aca="false">-0.5*((LN(N345)-LN($B$3))/$B$4)^2-LN(N345)</f>
        <v>-4.81262427135495</v>
      </c>
      <c r="Q345" s="9" t="n">
        <f aca="false">O345+P345</f>
        <v>-7.0070733836161</v>
      </c>
      <c r="R345" s="11" t="n">
        <f aca="false">EXP(Q345-MAX($Q$7:$Q$506))</f>
        <v>0.0274660985762019</v>
      </c>
      <c r="S345" s="11" t="n">
        <f aca="false">SUM($R$7:R345)/SUM($R$7:$R$506)</f>
        <v>0.990488268755996</v>
      </c>
    </row>
    <row r="346" customFormat="false" ht="15" hidden="false" customHeight="false" outlineLevel="0" collapsed="false">
      <c r="N346" s="12" t="n">
        <f aca="false">N345+0.01</f>
        <v>3.43999999999997</v>
      </c>
      <c r="O346" s="9" t="n">
        <f aca="false">SUMPRODUCT($F$7:$F$26,LN(1-EXP(-N346*$E$7:$E$26)+0.000000000001))-N346*SUMPRODUCT($G$7:$G$26,$E$7:$E$26)</f>
        <v>-2.19773910618873</v>
      </c>
      <c r="P346" s="9" t="n">
        <f aca="false">-0.5*((LN(N346)-LN($B$3))/$B$4)^2-LN(N346)</f>
        <v>-4.83113230634133</v>
      </c>
      <c r="Q346" s="9" t="n">
        <f aca="false">O346+P346</f>
        <v>-7.02887141253006</v>
      </c>
      <c r="R346" s="11" t="n">
        <f aca="false">EXP(Q346-MAX($Q$7:$Q$506))</f>
        <v>0.0268738699237311</v>
      </c>
      <c r="S346" s="11" t="n">
        <f aca="false">SUM($R$7:R346)/SUM($R$7:$R$506)</f>
        <v>0.990698852098666</v>
      </c>
    </row>
    <row r="347" customFormat="false" ht="15" hidden="false" customHeight="false" outlineLevel="0" collapsed="false">
      <c r="N347" s="12" t="n">
        <f aca="false">N346+0.01</f>
        <v>3.44999999999997</v>
      </c>
      <c r="O347" s="9" t="n">
        <f aca="false">SUMPRODUCT($F$7:$F$26,LN(1-EXP(-N347*$E$7:$E$26)+0.000000000001))-N347*SUMPRODUCT($G$7:$G$26,$E$7:$E$26)</f>
        <v>-2.20105100104734</v>
      </c>
      <c r="P347" s="9" t="n">
        <f aca="false">-0.5*((LN(N347)-LN($B$3))/$B$4)^2-LN(N347)</f>
        <v>-4.84962037002692</v>
      </c>
      <c r="Q347" s="9" t="n">
        <f aca="false">O347+P347</f>
        <v>-7.05067137107426</v>
      </c>
      <c r="R347" s="11" t="n">
        <f aca="false">EXP(Q347-MAX($Q$7:$Q$506))</f>
        <v>0.0262943602669632</v>
      </c>
      <c r="S347" s="11" t="n">
        <f aca="false">SUM($R$7:R347)/SUM($R$7:$R$506)</f>
        <v>0.990904894410178</v>
      </c>
    </row>
    <row r="348" customFormat="false" ht="15" hidden="false" customHeight="false" outlineLevel="0" collapsed="false">
      <c r="N348" s="12" t="n">
        <f aca="false">N347+0.01</f>
        <v>3.45999999999997</v>
      </c>
      <c r="O348" s="9" t="n">
        <f aca="false">SUMPRODUCT($F$7:$F$26,LN(1-EXP(-N348*$E$7:$E$26)+0.000000000001))-N348*SUMPRODUCT($G$7:$G$26,$E$7:$E$26)</f>
        <v>-2.20438457024757</v>
      </c>
      <c r="P348" s="9" t="n">
        <f aca="false">-0.5*((LN(N348)-LN($B$3))/$B$4)^2-LN(N348)</f>
        <v>-4.86808848046773</v>
      </c>
      <c r="Q348" s="9" t="n">
        <f aca="false">O348+P348</f>
        <v>-7.0724730507153</v>
      </c>
      <c r="R348" s="11" t="n">
        <f aca="false">EXP(Q348-MAX($Q$7:$Q$506))</f>
        <v>0.0257273029101171</v>
      </c>
      <c r="S348" s="11" t="n">
        <f aca="false">SUM($R$7:R348)/SUM($R$7:$R$506)</f>
        <v>0.991106493266615</v>
      </c>
    </row>
    <row r="349" customFormat="false" ht="15" hidden="false" customHeight="false" outlineLevel="0" collapsed="false">
      <c r="N349" s="12" t="n">
        <f aca="false">N348+0.01</f>
        <v>3.46999999999997</v>
      </c>
      <c r="O349" s="9" t="n">
        <f aca="false">SUMPRODUCT($F$7:$F$26,LN(1-EXP(-N349*$E$7:$E$26)+0.000000000001))-N349*SUMPRODUCT($G$7:$G$26,$E$7:$E$26)</f>
        <v>-2.20773958981738</v>
      </c>
      <c r="P349" s="9" t="n">
        <f aca="false">-0.5*((LN(N349)-LN($B$3))/$B$4)^2-LN(N349)</f>
        <v>-4.88653665612569</v>
      </c>
      <c r="Q349" s="9" t="n">
        <f aca="false">O349+P349</f>
        <v>-7.09427624594307</v>
      </c>
      <c r="R349" s="11" t="n">
        <f aca="false">EXP(Q349-MAX($Q$7:$Q$506))</f>
        <v>0.0251724364141827</v>
      </c>
      <c r="S349" s="11" t="n">
        <f aca="false">SUM($R$7:R349)/SUM($R$7:$R$506)</f>
        <v>0.991303744195427</v>
      </c>
    </row>
    <row r="350" customFormat="false" ht="15" hidden="false" customHeight="false" outlineLevel="0" collapsed="false">
      <c r="N350" s="12" t="n">
        <f aca="false">N349+0.01</f>
        <v>3.47999999999997</v>
      </c>
      <c r="O350" s="9" t="n">
        <f aca="false">SUMPRODUCT($F$7:$F$26,LN(1-EXP(-N350*$E$7:$E$26)+0.000000000001))-N350*SUMPRODUCT($G$7:$G$26,$E$7:$E$26)</f>
        <v>-2.21111583836797</v>
      </c>
      <c r="P350" s="9" t="n">
        <f aca="false">-0.5*((LN(N350)-LN($B$3))/$B$4)^2-LN(N350)</f>
        <v>-4.90496491585913</v>
      </c>
      <c r="Q350" s="9" t="n">
        <f aca="false">O350+P350</f>
        <v>-7.1160807542271</v>
      </c>
      <c r="R350" s="11" t="n">
        <f aca="false">EXP(Q350-MAX($Q$7:$Q$506))</f>
        <v>0.0246295045081192</v>
      </c>
      <c r="S350" s="11" t="n">
        <f aca="false">SUM($R$7:R350)/SUM($R$7:$R$506)</f>
        <v>0.991496740715925</v>
      </c>
    </row>
    <row r="351" customFormat="false" ht="15" hidden="false" customHeight="false" outlineLevel="0" collapsed="false">
      <c r="N351" s="12" t="n">
        <f aca="false">N350+0.01</f>
        <v>3.48999999999997</v>
      </c>
      <c r="O351" s="9" t="n">
        <f aca="false">SUMPRODUCT($F$7:$F$26,LN(1-EXP(-N351*$E$7:$E$26)+0.000000000001))-N351*SUMPRODUCT($G$7:$G$26,$E$7:$E$26)</f>
        <v>-2.2145130970601</v>
      </c>
      <c r="P351" s="9" t="n">
        <f aca="false">-0.5*((LN(N351)-LN($B$3))/$B$4)^2-LN(N351)</f>
        <v>-4.92337327891349</v>
      </c>
      <c r="Q351" s="9" t="n">
        <f aca="false">O351+P351</f>
        <v>-7.13788637597359</v>
      </c>
      <c r="R351" s="11" t="n">
        <f aca="false">EXP(Q351-MAX($Q$7:$Q$506))</f>
        <v>0.02409825600091</v>
      </c>
      <c r="S351" s="11" t="n">
        <f aca="false">SUM($R$7:R351)/SUM($R$7:$R$506)</f>
        <v>0.991685574379092</v>
      </c>
    </row>
    <row r="352" customFormat="false" ht="15" hidden="false" customHeight="false" outlineLevel="0" collapsed="false">
      <c r="N352" s="12" t="n">
        <f aca="false">N351+0.01</f>
        <v>3.49999999999997</v>
      </c>
      <c r="O352" s="9" t="n">
        <f aca="false">SUMPRODUCT($F$7:$F$26,LN(1-EXP(-N352*$E$7:$E$26)+0.000000000001))-N352*SUMPRODUCT($G$7:$G$26,$E$7:$E$26)</f>
        <v>-2.21793114957097</v>
      </c>
      <c r="P352" s="9" t="n">
        <f aca="false">-0.5*((LN(N352)-LN($B$3))/$B$4)^2-LN(N352)</f>
        <v>-4.94176176491214</v>
      </c>
      <c r="Q352" s="9" t="n">
        <f aca="false">O352+P352</f>
        <v>-7.1596929144831</v>
      </c>
      <c r="R352" s="11" t="n">
        <f aca="false">EXP(Q352-MAX($Q$7:$Q$506))</f>
        <v>0.0235784446944974</v>
      </c>
      <c r="S352" s="11" t="n">
        <f aca="false">SUM($R$7:R352)/SUM($R$7:$R$506)</f>
        <v>0.991870334806704</v>
      </c>
    </row>
    <row r="353" customFormat="false" ht="15" hidden="false" customHeight="false" outlineLevel="0" collapsed="false">
      <c r="N353" s="12" t="n">
        <f aca="false">N352+0.01</f>
        <v>3.50999999999997</v>
      </c>
      <c r="O353" s="9" t="n">
        <f aca="false">SUMPRODUCT($F$7:$F$26,LN(1-EXP(-N353*$E$7:$E$26)+0.000000000001))-N353*SUMPRODUCT($G$7:$G$26,$E$7:$E$26)</f>
        <v>-2.22136978206157</v>
      </c>
      <c r="P353" s="9" t="n">
        <f aca="false">-0.5*((LN(N353)-LN($B$3))/$B$4)^2-LN(N353)</f>
        <v>-4.96013039384744</v>
      </c>
      <c r="Q353" s="9" t="n">
        <f aca="false">O353+P353</f>
        <v>-7.181500175909</v>
      </c>
      <c r="R353" s="11" t="n">
        <f aca="false">EXP(Q353-MAX($Q$7:$Q$506))</f>
        <v>0.0230698292976174</v>
      </c>
      <c r="S353" s="11" t="n">
        <f aca="false">SUM($R$7:R353)/SUM($R$7:$R$506)</f>
        <v>0.992051109729783</v>
      </c>
    </row>
    <row r="354" customFormat="false" ht="15" hidden="false" customHeight="false" outlineLevel="0" collapsed="false">
      <c r="N354" s="12" t="n">
        <f aca="false">N353+0.01</f>
        <v>3.51999999999997</v>
      </c>
      <c r="O354" s="9" t="n">
        <f aca="false">SUMPRODUCT($F$7:$F$26,LN(1-EXP(-N354*$E$7:$E$26)+0.000000000001))-N354*SUMPRODUCT($G$7:$G$26,$E$7:$E$26)</f>
        <v>-2.22482878314449</v>
      </c>
      <c r="P354" s="9" t="n">
        <f aca="false">-0.5*((LN(N354)-LN($B$3))/$B$4)^2-LN(N354)</f>
        <v>-4.97847918607198</v>
      </c>
      <c r="Q354" s="9" t="n">
        <f aca="false">O354+P354</f>
        <v>-7.20330796921647</v>
      </c>
      <c r="R354" s="11" t="n">
        <f aca="false">EXP(Q354-MAX($Q$7:$Q$506))</f>
        <v>0.0225721733405538</v>
      </c>
      <c r="S354" s="11" t="n">
        <f aca="false">SUM($R$7:R354)/SUM($R$7:$R$506)</f>
        <v>0.992227985026376</v>
      </c>
    </row>
    <row r="355" customFormat="false" ht="15" hidden="false" customHeight="false" outlineLevel="0" collapsed="false">
      <c r="N355" s="12" t="n">
        <f aca="false">N354+0.01</f>
        <v>3.52999999999997</v>
      </c>
      <c r="O355" s="9" t="n">
        <f aca="false">SUMPRODUCT($F$7:$F$26,LN(1-EXP(-N355*$E$7:$E$26)+0.000000000001))-N355*SUMPRODUCT($G$7:$G$26,$E$7:$E$26)</f>
        <v>-2.22830794385226</v>
      </c>
      <c r="P355" s="9" t="n">
        <f aca="false">-0.5*((LN(N355)-LN($B$3))/$B$4)^2-LN(N355)</f>
        <v>-4.99680816228995</v>
      </c>
      <c r="Q355" s="9" t="n">
        <f aca="false">O355+P355</f>
        <v>-7.22511610614221</v>
      </c>
      <c r="R355" s="11" t="n">
        <f aca="false">EXP(Q355-MAX($Q$7:$Q$506))</f>
        <v>0.02208524509083</v>
      </c>
      <c r="S355" s="11" t="n">
        <f aca="false">SUM($R$7:R355)/SUM($R$7:$R$506)</f>
        <v>0.992401044758678</v>
      </c>
    </row>
    <row r="356" customFormat="false" ht="15" hidden="false" customHeight="false" outlineLevel="0" collapsed="false">
      <c r="N356" s="12" t="n">
        <f aca="false">N355+0.01</f>
        <v>3.53999999999997</v>
      </c>
      <c r="O356" s="9" t="n">
        <f aca="false">SUMPRODUCT($F$7:$F$26,LN(1-EXP(-N356*$E$7:$E$26)+0.000000000001))-N356*SUMPRODUCT($G$7:$G$26,$E$7:$E$26)</f>
        <v>-2.23180705760607</v>
      </c>
      <c r="P356" s="9" t="n">
        <f aca="false">-0.5*((LN(N356)-LN($B$3))/$B$4)^2-LN(N356)</f>
        <v>-5.01511734354874</v>
      </c>
      <c r="Q356" s="9" t="n">
        <f aca="false">O356+P356</f>
        <v>-7.24692440115481</v>
      </c>
      <c r="R356" s="11" t="n">
        <f aca="false">EXP(Q356-MAX($Q$7:$Q$506))</f>
        <v>0.0216088174698525</v>
      </c>
      <c r="S356" s="11" t="n">
        <f aca="false">SUM($R$7:R356)/SUM($R$7:$R$506)</f>
        <v>0.992570371209495</v>
      </c>
    </row>
    <row r="357" customFormat="false" ht="15" hidden="false" customHeight="false" outlineLevel="0" collapsed="false">
      <c r="N357" s="12" t="n">
        <f aca="false">N356+0.01</f>
        <v>3.54999999999997</v>
      </c>
      <c r="O357" s="9" t="n">
        <f aca="false">SUMPRODUCT($F$7:$F$26,LN(1-EXP(-N357*$E$7:$E$26)+0.000000000001))-N357*SUMPRODUCT($G$7:$G$26,$E$7:$E$26)</f>
        <v>-2.23532592018505</v>
      </c>
      <c r="P357" s="9" t="n">
        <f aca="false">-0.5*((LN(N357)-LN($B$3))/$B$4)^2-LN(N357)</f>
        <v>-5.03340675123067</v>
      </c>
      <c r="Q357" s="9" t="n">
        <f aca="false">O357+P357</f>
        <v>-7.26873267141572</v>
      </c>
      <c r="R357" s="11" t="n">
        <f aca="false">EXP(Q357-MAX($Q$7:$Q$506))</f>
        <v>0.0211426679705204</v>
      </c>
      <c r="S357" s="11" t="n">
        <f aca="false">SUM($R$7:R357)/SUM($R$7:$R$506)</f>
        <v>0.992736044918076</v>
      </c>
    </row>
    <row r="358" customFormat="false" ht="15" hidden="false" customHeight="false" outlineLevel="0" collapsed="false">
      <c r="N358" s="12" t="n">
        <f aca="false">N357+0.01</f>
        <v>3.55999999999997</v>
      </c>
      <c r="O358" s="9" t="n">
        <f aca="false">SUMPRODUCT($F$7:$F$26,LN(1-EXP(-N358*$E$7:$E$26)+0.000000000001))-N358*SUMPRODUCT($G$7:$G$26,$E$7:$E$26)</f>
        <v>-2.23886432969592</v>
      </c>
      <c r="P358" s="9" t="n">
        <f aca="false">-0.5*((LN(N358)-LN($B$3))/$B$4)^2-LN(N358)</f>
        <v>-5.05167640704489</v>
      </c>
      <c r="Q358" s="9" t="n">
        <f aca="false">O358+P358</f>
        <v>-7.29054073674081</v>
      </c>
      <c r="R358" s="11" t="n">
        <f aca="false">EXP(Q358-MAX($Q$7:$Q$506))</f>
        <v>0.0206865785758145</v>
      </c>
      <c r="S358" s="11" t="n">
        <f aca="false">SUM($R$7:R358)/SUM($R$7:$R$506)</f>
        <v>0.992898144715286</v>
      </c>
    </row>
    <row r="359" customFormat="false" ht="15" hidden="false" customHeight="false" outlineLevel="0" collapsed="false">
      <c r="N359" s="12" t="n">
        <f aca="false">N358+0.01</f>
        <v>3.56999999999997</v>
      </c>
      <c r="O359" s="9" t="n">
        <f aca="false">SUMPRODUCT($F$7:$F$26,LN(1-EXP(-N359*$E$7:$E$26)+0.000000000001))-N359*SUMPRODUCT($G$7:$G$26,$E$7:$E$26)</f>
        <v>-2.24242208654309</v>
      </c>
      <c r="P359" s="9" t="n">
        <f aca="false">-0.5*((LN(N359)-LN($B$3))/$B$4)^2-LN(N359)</f>
        <v>-5.06992633301948</v>
      </c>
      <c r="Q359" s="9" t="n">
        <f aca="false">O359+P359</f>
        <v>-7.31234841956256</v>
      </c>
      <c r="R359" s="11" t="n">
        <f aca="false">EXP(Q359-MAX($Q$7:$Q$506))</f>
        <v>0.020240335678375</v>
      </c>
      <c r="S359" s="11" t="n">
        <f aca="false">SUM($R$7:R359)/SUM($R$7:$R$506)</f>
        <v>0.993056747758167</v>
      </c>
    </row>
    <row r="360" customFormat="false" ht="15" hidden="false" customHeight="false" outlineLevel="0" collapsed="false">
      <c r="N360" s="12" t="n">
        <f aca="false">N359+0.01</f>
        <v>3.57999999999997</v>
      </c>
      <c r="O360" s="9" t="n">
        <f aca="false">SUMPRODUCT($F$7:$F$26,LN(1-EXP(-N360*$E$7:$E$26)+0.000000000001))-N360*SUMPRODUCT($G$7:$G$26,$E$7:$E$26)</f>
        <v>-2.24599899339927</v>
      </c>
      <c r="P360" s="9" t="n">
        <f aca="false">-0.5*((LN(N360)-LN($B$3))/$B$4)^2-LN(N360)</f>
        <v>-5.08815655149363</v>
      </c>
      <c r="Q360" s="9" t="n">
        <f aca="false">O360+P360</f>
        <v>-7.3341555448929</v>
      </c>
      <c r="R360" s="11" t="n">
        <f aca="false">EXP(Q360-MAX($Q$7:$Q$506))</f>
        <v>0.0198037300010789</v>
      </c>
      <c r="S360" s="11" t="n">
        <f aca="false">SUM($R$7:R360)/SUM($R$7:$R$506)</f>
        <v>0.993211929563868</v>
      </c>
    </row>
    <row r="361" customFormat="false" ht="15" hidden="false" customHeight="false" outlineLevel="0" collapsed="false">
      <c r="N361" s="12" t="n">
        <f aca="false">N360+0.01</f>
        <v>3.58999999999997</v>
      </c>
      <c r="O361" s="9" t="n">
        <f aca="false">SUMPRODUCT($F$7:$F$26,LN(1-EXP(-N361*$E$7:$E$26)+0.000000000001))-N361*SUMPRODUCT($G$7:$G$26,$E$7:$E$26)</f>
        <v>-2.24959485517644</v>
      </c>
      <c r="P361" s="9" t="n">
        <f aca="false">-0.5*((LN(N361)-LN($B$3))/$B$4)^2-LN(N361)</f>
        <v>-5.10636708511008</v>
      </c>
      <c r="Q361" s="9" t="n">
        <f aca="false">O361+P361</f>
        <v>-7.35596194028652</v>
      </c>
      <c r="R361" s="11" t="n">
        <f aca="false">EXP(Q361-MAX($Q$7:$Q$506))</f>
        <v>0.0193765565186241</v>
      </c>
      <c r="S361" s="11" t="n">
        <f aca="false">SUM($R$7:R361)/SUM($R$7:$R$506)</f>
        <v>0.993363764042962</v>
      </c>
    </row>
    <row r="362" customFormat="false" ht="15" hidden="false" customHeight="false" outlineLevel="0" collapsed="false">
      <c r="N362" s="12" t="n">
        <f aca="false">N361+0.01</f>
        <v>3.59999999999997</v>
      </c>
      <c r="O362" s="9" t="n">
        <f aca="false">SUMPRODUCT($F$7:$F$26,LN(1-EXP(-N362*$E$7:$E$26)+0.000000000001))-N362*SUMPRODUCT($G$7:$G$26,$E$7:$E$26)</f>
        <v>-2.25320947899722</v>
      </c>
      <c r="P362" s="9" t="n">
        <f aca="false">-0.5*((LN(N362)-LN($B$3))/$B$4)^2-LN(N362)</f>
        <v>-5.12455795680762</v>
      </c>
      <c r="Q362" s="9" t="n">
        <f aca="false">O362+P362</f>
        <v>-7.37776743580483</v>
      </c>
      <c r="R362" s="11" t="n">
        <f aca="false">EXP(Q362-MAX($Q$7:$Q$506))</f>
        <v>0.0189586143801276</v>
      </c>
      <c r="S362" s="11" t="n">
        <f aca="false">SUM($R$7:R362)/SUM($R$7:$R$506)</f>
        <v>0.993512323532157</v>
      </c>
    </row>
    <row r="363" customFormat="false" ht="15" hidden="false" customHeight="false" outlineLevel="0" collapsed="false">
      <c r="N363" s="12" t="n">
        <f aca="false">N362+0.01</f>
        <v>3.60999999999997</v>
      </c>
      <c r="O363" s="9" t="n">
        <f aca="false">SUMPRODUCT($F$7:$F$26,LN(1-EXP(-N363*$E$7:$E$26)+0.000000000001))-N363*SUMPRODUCT($G$7:$G$26,$E$7:$E$26)</f>
        <v>-2.25684267416672</v>
      </c>
      <c r="P363" s="9" t="n">
        <f aca="false">-0.5*((LN(N363)-LN($B$3))/$B$4)^2-LN(N363)</f>
        <v>-5.14272918981377</v>
      </c>
      <c r="Q363" s="9" t="n">
        <f aca="false">O363+P363</f>
        <v>-7.39957186398049</v>
      </c>
      <c r="R363" s="11" t="n">
        <f aca="false">EXP(Q363-MAX($Q$7:$Q$506))</f>
        <v>0.0185497068327429</v>
      </c>
      <c r="S363" s="11" t="n">
        <f aca="false">SUM($R$7:R363)/SUM($R$7:$R$506)</f>
        <v>0.993657678826405</v>
      </c>
    </row>
    <row r="364" customFormat="false" ht="15" hidden="false" customHeight="false" outlineLevel="0" collapsed="false">
      <c r="N364" s="12" t="n">
        <f aca="false">N363+0.01</f>
        <v>3.61999999999997</v>
      </c>
      <c r="O364" s="9" t="n">
        <f aca="false">SUMPRODUCT($F$7:$F$26,LN(1-EXP(-N364*$E$7:$E$26)+0.000000000001))-N364*SUMPRODUCT($G$7:$G$26,$E$7:$E$26)</f>
        <v>-2.2604942521448</v>
      </c>
      <c r="P364" s="9" t="n">
        <f aca="false">-0.5*((LN(N364)-LN($B$3))/$B$4)^2-LN(N364)</f>
        <v>-5.16088080763763</v>
      </c>
      <c r="Q364" s="9" t="n">
        <f aca="false">O364+P364</f>
        <v>-7.42137505978243</v>
      </c>
      <c r="R364" s="11" t="n">
        <f aca="false">EXP(Q364-MAX($Q$7:$Q$506))</f>
        <v>0.0181496411463025</v>
      </c>
      <c r="S364" s="11" t="n">
        <f aca="false">SUM($R$7:R364)/SUM($R$7:$R$506)</f>
        <v>0.993799899210432</v>
      </c>
    </row>
    <row r="365" customFormat="false" ht="15" hidden="false" customHeight="false" outlineLevel="0" collapsed="false">
      <c r="N365" s="12" t="n">
        <f aca="false">N364+0.01</f>
        <v>3.62999999999997</v>
      </c>
      <c r="O365" s="9" t="n">
        <f aca="false">SUMPRODUCT($F$7:$F$26,LN(1-EXP(-N365*$E$7:$E$26)+0.000000000001))-N365*SUMPRODUCT($G$7:$G$26,$E$7:$E$26)</f>
        <v>-2.26416402651862</v>
      </c>
      <c r="P365" s="9" t="n">
        <f aca="false">-0.5*((LN(N365)-LN($B$3))/$B$4)^2-LN(N365)</f>
        <v>-5.17901283406286</v>
      </c>
      <c r="Q365" s="9" t="n">
        <f aca="false">O365+P365</f>
        <v>-7.44317686058148</v>
      </c>
      <c r="R365" s="11" t="n">
        <f aca="false">EXP(Q365-MAX($Q$7:$Q$506))</f>
        <v>0.0177582285389862</v>
      </c>
      <c r="S365" s="11" t="n">
        <f aca="false">SUM($R$7:R365)/SUM($R$7:$R$506)</f>
        <v>0.993939052489667</v>
      </c>
    </row>
    <row r="366" customFormat="false" ht="15" hidden="false" customHeight="false" outlineLevel="0" collapsed="false">
      <c r="N366" s="12" t="n">
        <f aca="false">N365+0.01</f>
        <v>3.63999999999997</v>
      </c>
      <c r="O366" s="9" t="n">
        <f aca="false">SUMPRODUCT($F$7:$F$26,LN(1-EXP(-N366*$E$7:$E$26)+0.000000000001))-N366*SUMPRODUCT($G$7:$G$26,$E$7:$E$26)</f>
        <v>-2.26785181297575</v>
      </c>
      <c r="P366" s="9" t="n">
        <f aca="false">-0.5*((LN(N366)-LN($B$3))/$B$4)^2-LN(N366)</f>
        <v>-5.19712529314075</v>
      </c>
      <c r="Q366" s="9" t="n">
        <f aca="false">O366+P366</f>
        <v>-7.4649771061165</v>
      </c>
      <c r="R366" s="11" t="n">
        <f aca="false">EXP(Q366-MAX($Q$7:$Q$506))</f>
        <v>0.0173752841040212</v>
      </c>
      <c r="S366" s="11" t="n">
        <f aca="false">SUM($R$7:R366)/SUM($R$7:$R$506)</f>
        <v>0.994075205020614</v>
      </c>
    </row>
    <row r="367" customFormat="false" ht="15" hidden="false" customHeight="false" outlineLevel="0" collapsed="false">
      <c r="N367" s="12" t="n">
        <f aca="false">N366+0.01</f>
        <v>3.64999999999997</v>
      </c>
      <c r="O367" s="9" t="n">
        <f aca="false">SUMPRODUCT($F$7:$F$26,LN(1-EXP(-N367*$E$7:$E$26)+0.000000000001))-N367*SUMPRODUCT($G$7:$G$26,$E$7:$E$26)</f>
        <v>-2.27155742927752</v>
      </c>
      <c r="P367" s="9" t="n">
        <f aca="false">-0.5*((LN(N367)-LN($B$3))/$B$4)^2-LN(N367)</f>
        <v>-5.21521820918351</v>
      </c>
      <c r="Q367" s="9" t="n">
        <f aca="false">O367+P367</f>
        <v>-7.48677563846103</v>
      </c>
      <c r="R367" s="11" t="n">
        <f aca="false">EXP(Q367-MAX($Q$7:$Q$506))</f>
        <v>0.0170006267374116</v>
      </c>
      <c r="S367" s="11" t="n">
        <f aca="false">SUM($R$7:R367)/SUM($R$7:$R$506)</f>
        <v>0.994208421740647</v>
      </c>
    </row>
    <row r="368" customFormat="false" ht="15" hidden="false" customHeight="false" outlineLevel="0" collapsed="false">
      <c r="N368" s="12" t="n">
        <f aca="false">N367+0.01</f>
        <v>3.65999999999997</v>
      </c>
      <c r="O368" s="9" t="n">
        <f aca="false">SUMPRODUCT($F$7:$F$26,LN(1-EXP(-N368*$E$7:$E$26)+0.000000000001))-N368*SUMPRODUCT($G$7:$G$26,$E$7:$E$26)</f>
        <v>-2.27528069523284</v>
      </c>
      <c r="P368" s="9" t="n">
        <f aca="false">-0.5*((LN(N368)-LN($B$3))/$B$4)^2-LN(N368)</f>
        <v>-5.23329160675766</v>
      </c>
      <c r="Q368" s="9" t="n">
        <f aca="false">O368+P368</f>
        <v>-7.5085723019905</v>
      </c>
      <c r="R368" s="11" t="n">
        <f aca="false">EXP(Q368-MAX($Q$7:$Q$506))</f>
        <v>0.0166340790667008</v>
      </c>
      <c r="S368" s="11" t="n">
        <f aca="false">SUM($R$7:R368)/SUM($R$7:$R$506)</f>
        <v>0.994338766197252</v>
      </c>
    </row>
    <row r="369" customFormat="false" ht="15" hidden="false" customHeight="false" outlineLevel="0" collapsed="false">
      <c r="N369" s="12" t="n">
        <f aca="false">N368+0.01</f>
        <v>3.66999999999997</v>
      </c>
      <c r="O369" s="9" t="n">
        <f aca="false">SUMPRODUCT($F$7:$F$26,LN(1-EXP(-N369*$E$7:$E$26)+0.000000000001))-N369*SUMPRODUCT($G$7:$G$26,$E$7:$E$26)</f>
        <v>-2.27902143267235</v>
      </c>
      <c r="P369" s="9" t="n">
        <f aca="false">-0.5*((LN(N369)-LN($B$3))/$B$4)^2-LN(N369)</f>
        <v>-5.25134551067749</v>
      </c>
      <c r="Q369" s="9" t="n">
        <f aca="false">O369+P369</f>
        <v>-7.53036694334984</v>
      </c>
      <c r="R369" s="11" t="n">
        <f aca="false">EXP(Q369-MAX($Q$7:$Q$506))</f>
        <v>0.0162754673807647</v>
      </c>
      <c r="S369" s="11" t="n">
        <f aca="false">SUM($R$7:R369)/SUM($R$7:$R$506)</f>
        <v>0.994466300576717</v>
      </c>
    </row>
    <row r="370" customFormat="false" ht="15" hidden="false" customHeight="false" outlineLevel="0" collapsed="false">
      <c r="N370" s="12" t="n">
        <f aca="false">N369+0.01</f>
        <v>3.67999999999997</v>
      </c>
      <c r="O370" s="9" t="n">
        <f aca="false">SUMPRODUCT($F$7:$F$26,LN(1-EXP(-N370*$E$7:$E$26)+0.000000000001))-N370*SUMPRODUCT($G$7:$G$26,$E$7:$E$26)</f>
        <v>-2.282779465423</v>
      </c>
      <c r="P370" s="9" t="n">
        <f aca="false">-0.5*((LN(N370)-LN($B$3))/$B$4)^2-LN(N370)</f>
        <v>-5.26937994599877</v>
      </c>
      <c r="Q370" s="9" t="n">
        <f aca="false">O370+P370</f>
        <v>-7.55215941142176</v>
      </c>
      <c r="R370" s="11" t="n">
        <f aca="false">EXP(Q370-MAX($Q$7:$Q$506))</f>
        <v>0.015924621560635</v>
      </c>
      <c r="S370" s="11" t="n">
        <f aca="false">SUM($R$7:R370)/SUM($R$7:$R$506)</f>
        <v>0.994591085732279</v>
      </c>
    </row>
    <row r="371" customFormat="false" ht="15" hidden="false" customHeight="false" outlineLevel="0" collapsed="false">
      <c r="N371" s="12" t="n">
        <f aca="false">N370+0.01</f>
        <v>3.68999999999997</v>
      </c>
      <c r="O371" s="9" t="n">
        <f aca="false">SUMPRODUCT($F$7:$F$26,LN(1-EXP(-N371*$E$7:$E$26)+0.000000000001))-N371*SUMPRODUCT($G$7:$G$26,$E$7:$E$26)</f>
        <v>-2.28655461928287</v>
      </c>
      <c r="P371" s="9" t="n">
        <f aca="false">-0.5*((LN(N371)-LN($B$3))/$B$4)^2-LN(N371)</f>
        <v>-5.28739493801246</v>
      </c>
      <c r="Q371" s="9" t="n">
        <f aca="false">O371+P371</f>
        <v>-7.57394955729533</v>
      </c>
      <c r="R371" s="11" t="n">
        <f aca="false">EXP(Q371-MAX($Q$7:$Q$506))</f>
        <v>0.0155813750113506</v>
      </c>
      <c r="S371" s="11" t="n">
        <f aca="false">SUM($R$7:R371)/SUM($R$7:$R$506)</f>
        <v>0.994713181211738</v>
      </c>
    </row>
    <row r="372" customFormat="false" ht="15" hidden="false" customHeight="false" outlineLevel="0" collapsed="false">
      <c r="N372" s="12" t="n">
        <f aca="false">N371+0.01</f>
        <v>3.69999999999997</v>
      </c>
      <c r="O372" s="9" t="n">
        <f aca="false">SUMPRODUCT($F$7:$F$26,LN(1-EXP(-N372*$E$7:$E$26)+0.000000000001))-N372*SUMPRODUCT($G$7:$G$26,$E$7:$E$26)</f>
        <v>-2.2903467219965</v>
      </c>
      <c r="P372" s="9" t="n">
        <f aca="false">-0.5*((LN(N372)-LN($B$3))/$B$4)^2-LN(N372)</f>
        <v>-5.30539051223866</v>
      </c>
      <c r="Q372" s="9" t="n">
        <f aca="false">O372+P372</f>
        <v>-7.59573723423516</v>
      </c>
      <c r="R372" s="11" t="n">
        <f aca="false">EXP(Q372-MAX($Q$7:$Q$506))</f>
        <v>0.0152455645948344</v>
      </c>
      <c r="S372" s="11" t="n">
        <f aca="false">SUM($R$7:R372)/SUM($R$7:$R$506)</f>
        <v>0.994832645284549</v>
      </c>
    </row>
    <row r="373" customFormat="false" ht="15" hidden="false" customHeight="false" outlineLevel="0" collapsed="false">
      <c r="N373" s="12" t="n">
        <f aca="false">N372+0.01</f>
        <v>3.70999999999997</v>
      </c>
      <c r="O373" s="9" t="n">
        <f aca="false">SUMPRODUCT($F$7:$F$26,LN(1-EXP(-N373*$E$7:$E$26)+0.000000000001))-N373*SUMPRODUCT($G$7:$G$26,$E$7:$E$26)</f>
        <v>-2.29415560323048</v>
      </c>
      <c r="P373" s="9" t="n">
        <f aca="false">-0.5*((LN(N373)-LN($B$3))/$B$4)^2-LN(N373)</f>
        <v>-5.32336669442057</v>
      </c>
      <c r="Q373" s="9" t="n">
        <f aca="false">O373+P373</f>
        <v>-7.61752229765106</v>
      </c>
      <c r="R373" s="11" t="n">
        <f aca="false">EXP(Q373-MAX($Q$7:$Q$506))</f>
        <v>0.0149170305637918</v>
      </c>
      <c r="S373" s="11" t="n">
        <f aca="false">SUM($R$7:R373)/SUM($R$7:$R$506)</f>
        <v>0.994949534968384</v>
      </c>
    </row>
    <row r="374" customFormat="false" ht="15" hidden="false" customHeight="false" outlineLevel="0" collapsed="false">
      <c r="N374" s="12" t="n">
        <f aca="false">N373+0.01</f>
        <v>3.71999999999996</v>
      </c>
      <c r="O374" s="9" t="n">
        <f aca="false">SUMPRODUCT($F$7:$F$26,LN(1-EXP(-N374*$E$7:$E$26)+0.000000000001))-N374*SUMPRODUCT($G$7:$G$26,$E$7:$E$26)</f>
        <v>-2.29798109454938</v>
      </c>
      <c r="P374" s="9" t="n">
        <f aca="false">-0.5*((LN(N374)-LN($B$3))/$B$4)^2-LN(N374)</f>
        <v>-5.34132351051866</v>
      </c>
      <c r="Q374" s="9" t="n">
        <f aca="false">O374+P374</f>
        <v>-7.63930460506804</v>
      </c>
      <c r="R374" s="11" t="n">
        <f aca="false">EXP(Q374-MAX($Q$7:$Q$506))</f>
        <v>0.0145956164966272</v>
      </c>
      <c r="S374" s="11" t="n">
        <f aca="false">SUM($R$7:R374)/SUM($R$7:$R$506)</f>
        <v>0.995063906055202</v>
      </c>
    </row>
    <row r="375" customFormat="false" ht="15" hidden="false" customHeight="false" outlineLevel="0" collapsed="false">
      <c r="N375" s="12" t="n">
        <f aca="false">N374+0.01</f>
        <v>3.72999999999996</v>
      </c>
      <c r="O375" s="9" t="n">
        <f aca="false">SUMPRODUCT($F$7:$F$26,LN(1-EXP(-N375*$E$7:$E$26)+0.000000000001))-N375*SUMPRODUCT($G$7:$G$26,$E$7:$E$26)</f>
        <v>-2.30182302939205</v>
      </c>
      <c r="P375" s="9" t="n">
        <f aca="false">-0.5*((LN(N375)-LN($B$3))/$B$4)^2-LN(N375)</f>
        <v>-5.3592609867049</v>
      </c>
      <c r="Q375" s="9" t="n">
        <f aca="false">O375+P375</f>
        <v>-7.66108401609694</v>
      </c>
      <c r="R375" s="11" t="n">
        <f aca="false">EXP(Q375-MAX($Q$7:$Q$506))</f>
        <v>0.0142811692333734</v>
      </c>
      <c r="S375" s="11" t="n">
        <f aca="false">SUM($R$7:R375)/SUM($R$7:$R$506)</f>
        <v>0.995175813136799</v>
      </c>
    </row>
    <row r="376" customFormat="false" ht="15" hidden="false" customHeight="false" outlineLevel="0" collapsed="false">
      <c r="N376" s="12" t="n">
        <f aca="false">N375+0.01</f>
        <v>3.73999999999996</v>
      </c>
      <c r="O376" s="9" t="n">
        <f aca="false">SUMPRODUCT($F$7:$F$26,LN(1-EXP(-N376*$E$7:$E$26)+0.000000000001))-N376*SUMPRODUCT($G$7:$G$26,$E$7:$E$26)</f>
        <v>-2.30568124304826</v>
      </c>
      <c r="P376" s="9" t="n">
        <f aca="false">-0.5*((LN(N376)-LN($B$3))/$B$4)^2-LN(N376)</f>
        <v>-5.37717914935711</v>
      </c>
      <c r="Q376" s="9" t="n">
        <f aca="false">O376+P376</f>
        <v>-7.68286039240537</v>
      </c>
      <c r="R376" s="11" t="n">
        <f aca="false">EXP(Q376-MAX($Q$7:$Q$506))</f>
        <v>0.0139735388126297</v>
      </c>
      <c r="S376" s="11" t="n">
        <f aca="false">SUM($R$7:R376)/SUM($R$7:$R$506)</f>
        <v>0.995285309629877</v>
      </c>
    </row>
    <row r="377" customFormat="false" ht="15" hidden="false" customHeight="false" outlineLevel="0" collapsed="false">
      <c r="N377" s="12" t="n">
        <f aca="false">N376+0.01</f>
        <v>3.74999999999996</v>
      </c>
      <c r="O377" s="9" t="n">
        <f aca="false">SUMPRODUCT($F$7:$F$26,LN(1-EXP(-N377*$E$7:$E$26)+0.000000000001))-N377*SUMPRODUCT($G$7:$G$26,$E$7:$E$26)</f>
        <v>-2.30955557263565</v>
      </c>
      <c r="P377" s="9" t="n">
        <f aca="false">-0.5*((LN(N377)-LN($B$3))/$B$4)^2-LN(N377)</f>
        <v>-5.39507802505348</v>
      </c>
      <c r="Q377" s="9" t="n">
        <f aca="false">O377+P377</f>
        <v>-7.70463359768913</v>
      </c>
      <c r="R377" s="11" t="n">
        <f aca="false">EXP(Q377-MAX($Q$7:$Q$506))</f>
        <v>0.013672578409501</v>
      </c>
      <c r="S377" s="11" t="n">
        <f aca="false">SUM($R$7:R377)/SUM($R$7:$R$506)</f>
        <v>0.995392447800618</v>
      </c>
    </row>
    <row r="378" customFormat="false" ht="15" hidden="false" customHeight="false" outlineLevel="0" collapsed="false">
      <c r="N378" s="12" t="n">
        <f aca="false">N377+0.01</f>
        <v>3.75999999999996</v>
      </c>
      <c r="O378" s="9" t="n">
        <f aca="false">SUMPRODUCT($F$7:$F$26,LN(1-EXP(-N378*$E$7:$E$26)+0.000000000001))-N378*SUMPRODUCT($G$7:$G$26,$E$7:$E$26)</f>
        <v>-2.31344585707703</v>
      </c>
      <c r="P378" s="9" t="n">
        <f aca="false">-0.5*((LN(N378)-LN($B$3))/$B$4)^2-LN(N378)</f>
        <v>-5.41295764056708</v>
      </c>
      <c r="Q378" s="9" t="n">
        <f aca="false">O378+P378</f>
        <v>-7.72640349764411</v>
      </c>
      <c r="R378" s="11" t="n">
        <f aca="false">EXP(Q378-MAX($Q$7:$Q$506))</f>
        <v>0.0133781442745336</v>
      </c>
      <c r="S378" s="11" t="n">
        <f aca="false">SUM($R$7:R378)/SUM($R$7:$R$506)</f>
        <v>0.995497278788788</v>
      </c>
    </row>
    <row r="379" customFormat="false" ht="15" hidden="false" customHeight="false" outlineLevel="0" collapsed="false">
      <c r="N379" s="12" t="n">
        <f aca="false">N378+0.01</f>
        <v>3.76999999999996</v>
      </c>
      <c r="O379" s="9" t="n">
        <f aca="false">SUMPRODUCT($F$7:$F$26,LN(1-EXP(-N379*$E$7:$E$26)+0.000000000001))-N379*SUMPRODUCT($G$7:$G$26,$E$7:$E$26)</f>
        <v>-2.31735193707792</v>
      </c>
      <c r="P379" s="9" t="n">
        <f aca="false">-0.5*((LN(N379)-LN($B$3))/$B$4)^2-LN(N379)</f>
        <v>-5.43081802286062</v>
      </c>
      <c r="Q379" s="9" t="n">
        <f aca="false">O379+P379</f>
        <v>-7.74816995993855</v>
      </c>
      <c r="R379" s="11" t="n">
        <f aca="false">EXP(Q379-MAX($Q$7:$Q$506))</f>
        <v>0.0130900956736398</v>
      </c>
      <c r="S379" s="11" t="n">
        <f aca="false">SUM($R$7:R379)/SUM($R$7:$R$506)</f>
        <v>0.995599852631358</v>
      </c>
    </row>
    <row r="380" customFormat="false" ht="15" hidden="false" customHeight="false" outlineLevel="0" collapsed="false">
      <c r="N380" s="12" t="n">
        <f aca="false">N379+0.01</f>
        <v>3.77999999999996</v>
      </c>
      <c r="O380" s="9" t="n">
        <f aca="false">SUMPRODUCT($F$7:$F$26,LN(1-EXP(-N380*$E$7:$E$26)+0.000000000001))-N380*SUMPRODUCT($G$7:$G$26,$E$7:$E$26)</f>
        <v>-2.32127365510455</v>
      </c>
      <c r="P380" s="9" t="n">
        <f aca="false">-0.5*((LN(N380)-LN($B$3))/$B$4)^2-LN(N380)</f>
        <v>-5.44865919908119</v>
      </c>
      <c r="Q380" s="9" t="n">
        <f aca="false">O380+P380</f>
        <v>-7.76993285418574</v>
      </c>
      <c r="R380" s="11" t="n">
        <f aca="false">EXP(Q380-MAX($Q$7:$Q$506))</f>
        <v>0.0128082948290046</v>
      </c>
      <c r="S380" s="11" t="n">
        <f aca="false">SUM($R$7:R380)/SUM($R$7:$R$506)</f>
        <v>0.995700218285678</v>
      </c>
    </row>
    <row r="381" customFormat="false" ht="15" hidden="false" customHeight="false" outlineLevel="0" collapsed="false">
      <c r="N381" s="12" t="n">
        <f aca="false">N380+0.01</f>
        <v>3.78999999999996</v>
      </c>
      <c r="O381" s="9" t="n">
        <f aca="false">SUMPRODUCT($F$7:$F$26,LN(1-EXP(-N381*$E$7:$E$26)+0.000000000001))-N381*SUMPRODUCT($G$7:$G$26,$E$7:$E$26)</f>
        <v>-2.325210855362</v>
      </c>
      <c r="P381" s="9" t="n">
        <f aca="false">-0.5*((LN(N381)-LN($B$3))/$B$4)^2-LN(N381)</f>
        <v>-5.46648119655518</v>
      </c>
      <c r="Q381" s="9" t="n">
        <f aca="false">O381+P381</f>
        <v>-7.79169205191719</v>
      </c>
      <c r="R381" s="11" t="n">
        <f aca="false">EXP(Q381-MAX($Q$7:$Q$506))</f>
        <v>0.0125326068609667</v>
      </c>
      <c r="S381" s="11" t="n">
        <f aca="false">SUM($R$7:R381)/SUM($R$7:$R$506)</f>
        <v>0.995798423652178</v>
      </c>
    </row>
    <row r="382" customFormat="false" ht="15" hidden="false" customHeight="false" outlineLevel="0" collapsed="false">
      <c r="N382" s="12" t="n">
        <f aca="false">N381+0.01</f>
        <v>3.79999999999996</v>
      </c>
      <c r="O382" s="9" t="n">
        <f aca="false">SUMPRODUCT($F$7:$F$26,LN(1-EXP(-N382*$E$7:$E$26)+0.000000000001))-N382*SUMPRODUCT($G$7:$G$26,$E$7:$E$26)</f>
        <v>-2.32916338377278</v>
      </c>
      <c r="P382" s="9" t="n">
        <f aca="false">-0.5*((LN(N382)-LN($B$3))/$B$4)^2-LN(N382)</f>
        <v>-5.48428404278328</v>
      </c>
      <c r="Q382" s="9" t="n">
        <f aca="false">O382+P382</f>
        <v>-7.81344742655606</v>
      </c>
      <c r="R382" s="11" t="n">
        <f aca="false">EXP(Q382-MAX($Q$7:$Q$506))</f>
        <v>0.0122628997308659</v>
      </c>
      <c r="S382" s="11" t="n">
        <f aca="false">SUM($R$7:R382)/SUM($R$7:$R$506)</f>
        <v>0.995894515596638</v>
      </c>
    </row>
    <row r="383" customFormat="false" ht="15" hidden="false" customHeight="false" outlineLevel="0" collapsed="false">
      <c r="N383" s="12" t="n">
        <f aca="false">N382+0.01</f>
        <v>3.80999999999996</v>
      </c>
      <c r="O383" s="9" t="n">
        <f aca="false">SUMPRODUCT($F$7:$F$26,LN(1-EXP(-N383*$E$7:$E$26)+0.000000000001))-N383*SUMPRODUCT($G$7:$G$26,$E$7:$E$26)</f>
        <v>-2.33313108795562</v>
      </c>
      <c r="P383" s="9" t="n">
        <f aca="false">-0.5*((LN(N383)-LN($B$3))/$B$4)^2-LN(N383)</f>
        <v>-5.50206776543555</v>
      </c>
      <c r="Q383" s="9" t="n">
        <f aca="false">O383+P383</f>
        <v>-7.83519885339118</v>
      </c>
      <c r="R383" s="11" t="n">
        <f aca="false">EXP(Q383-MAX($Q$7:$Q$506))</f>
        <v>0.0119990441848488</v>
      </c>
      <c r="S383" s="11" t="n">
        <f aca="false">SUM($R$7:R383)/SUM($R$7:$R$506)</f>
        <v>0.995988539972005</v>
      </c>
    </row>
    <row r="384" customFormat="false" ht="15" hidden="false" customHeight="false" outlineLevel="0" collapsed="false">
      <c r="N384" s="12" t="n">
        <f aca="false">N383+0.01</f>
        <v>3.81999999999996</v>
      </c>
      <c r="O384" s="9" t="n">
        <f aca="false">SUMPRODUCT($F$7:$F$26,LN(1-EXP(-N384*$E$7:$E$26)+0.000000000001))-N384*SUMPRODUCT($G$7:$G$26,$E$7:$E$26)</f>
        <v>-2.33711381720462</v>
      </c>
      <c r="P384" s="9" t="n">
        <f aca="false">-0.5*((LN(N384)-LN($B$3))/$B$4)^2-LN(N384)</f>
        <v>-5.51983239234664</v>
      </c>
      <c r="Q384" s="9" t="n">
        <f aca="false">O384+P384</f>
        <v>-7.85694620955127</v>
      </c>
      <c r="R384" s="11" t="n">
        <f aca="false">EXP(Q384-MAX($Q$7:$Q$506))</f>
        <v>0.0117409136986239</v>
      </c>
      <c r="S384" s="11" t="n">
        <f aca="false">SUM($R$7:R384)/SUM($R$7:$R$506)</f>
        <v>0.996080541639784</v>
      </c>
    </row>
    <row r="385" customFormat="false" ht="15" hidden="false" customHeight="false" outlineLevel="0" collapsed="false">
      <c r="N385" s="12" t="n">
        <f aca="false">N384+0.01</f>
        <v>3.82999999999996</v>
      </c>
      <c r="O385" s="9" t="n">
        <f aca="false">SUMPRODUCT($F$7:$F$26,LN(1-EXP(-N385*$E$7:$E$26)+0.000000000001))-N385*SUMPRODUCT($G$7:$G$26,$E$7:$E$26)</f>
        <v>-2.34111142246864</v>
      </c>
      <c r="P385" s="9" t="n">
        <f aca="false">-0.5*((LN(N385)-LN($B$3))/$B$4)^2-LN(N385)</f>
        <v>-5.53757795151106</v>
      </c>
      <c r="Q385" s="9" t="n">
        <f aca="false">O385+P385</f>
        <v>-7.8786893739797</v>
      </c>
      <c r="R385" s="11" t="n">
        <f aca="false">EXP(Q385-MAX($Q$7:$Q$506))</f>
        <v>0.0114883844231571</v>
      </c>
      <c r="S385" s="11" t="n">
        <f aca="false">SUM($R$7:R385)/SUM($R$7:$R$506)</f>
        <v>0.996170564490998</v>
      </c>
    </row>
    <row r="386" customFormat="false" ht="15" hidden="false" customHeight="false" outlineLevel="0" collapsed="false">
      <c r="N386" s="12" t="n">
        <f aca="false">N385+0.01</f>
        <v>3.83999999999996</v>
      </c>
      <c r="O386" s="9" t="n">
        <f aca="false">SUMPRODUCT($F$7:$F$26,LN(1-EXP(-N386*$E$7:$E$26)+0.000000000001))-N386*SUMPRODUCT($G$7:$G$26,$E$7:$E$26)</f>
        <v>-2.34512375633098</v>
      </c>
      <c r="P386" s="9" t="n">
        <f aca="false">-0.5*((LN(N386)-LN($B$3))/$B$4)^2-LN(N386)</f>
        <v>-5.55530447107856</v>
      </c>
      <c r="Q386" s="9" t="n">
        <f aca="false">O386+P386</f>
        <v>-7.90042822740954</v>
      </c>
      <c r="R386" s="11" t="n">
        <f aca="false">EXP(Q386-MAX($Q$7:$Q$506))</f>
        <v>0.0112413351312992</v>
      </c>
      <c r="S386" s="11" t="n">
        <f aca="false">SUM($R$7:R386)/SUM($R$7:$R$506)</f>
        <v>0.996258651466738</v>
      </c>
    </row>
    <row r="387" customFormat="false" ht="15" hidden="false" customHeight="false" outlineLevel="0" collapsed="false">
      <c r="N387" s="12" t="n">
        <f aca="false">N386+0.01</f>
        <v>3.84999999999996</v>
      </c>
      <c r="O387" s="9" t="n">
        <f aca="false">SUMPRODUCT($F$7:$F$26,LN(1-EXP(-N387*$E$7:$E$26)+0.000000000001))-N387*SUMPRODUCT($G$7:$G$26,$E$7:$E$26)</f>
        <v>-2.34915067298939</v>
      </c>
      <c r="P387" s="9" t="n">
        <f aca="false">-0.5*((LN(N387)-LN($B$3))/$B$4)^2-LN(N387)</f>
        <v>-5.57301197934958</v>
      </c>
      <c r="Q387" s="9" t="n">
        <f aca="false">O387+P387</f>
        <v>-7.92216265233897</v>
      </c>
      <c r="R387" s="11" t="n">
        <f aca="false">EXP(Q387-MAX($Q$7:$Q$506))</f>
        <v>0.0109996471653348</v>
      </c>
      <c r="S387" s="11" t="n">
        <f aca="false">SUM($R$7:R387)/SUM($R$7:$R$506)</f>
        <v>0.996344844578293</v>
      </c>
    </row>
    <row r="388" customFormat="false" ht="15" hidden="false" customHeight="false" outlineLevel="0" collapsed="false">
      <c r="N388" s="12" t="n">
        <f aca="false">N387+0.01</f>
        <v>3.85999999999996</v>
      </c>
      <c r="O388" s="9" t="n">
        <f aca="false">SUMPRODUCT($F$7:$F$26,LN(1-EXP(-N388*$E$7:$E$26)+0.000000000001))-N388*SUMPRODUCT($G$7:$G$26,$E$7:$E$26)</f>
        <v>-2.35319202823628</v>
      </c>
      <c r="P388" s="9" t="n">
        <f aca="false">-0.5*((LN(N388)-LN($B$3))/$B$4)^2-LN(N388)</f>
        <v>-5.59070050477087</v>
      </c>
      <c r="Q388" s="9" t="n">
        <f aca="false">O388+P388</f>
        <v>-7.94389253300714</v>
      </c>
      <c r="R388" s="11" t="n">
        <f aca="false">EXP(Q388-MAX($Q$7:$Q$506))</f>
        <v>0.0107632043854441</v>
      </c>
      <c r="S388" s="11" t="n">
        <f aca="false">SUM($R$7:R388)/SUM($R$7:$R$506)</f>
        <v>0.996429184926883</v>
      </c>
    </row>
    <row r="389" customFormat="false" ht="15" hidden="false" customHeight="false" outlineLevel="0" collapsed="false">
      <c r="N389" s="12" t="n">
        <f aca="false">N388+0.01</f>
        <v>3.86999999999996</v>
      </c>
      <c r="O389" s="9" t="n">
        <f aca="false">SUMPRODUCT($F$7:$F$26,LN(1-EXP(-N389*$E$7:$E$26)+0.000000000001))-N389*SUMPRODUCT($G$7:$G$26,$E$7:$E$26)</f>
        <v>-2.35724767943927</v>
      </c>
      <c r="P389" s="9" t="n">
        <f aca="false">-0.5*((LN(N389)-LN($B$3))/$B$4)^2-LN(N389)</f>
        <v>-5.60837007593105</v>
      </c>
      <c r="Q389" s="9" t="n">
        <f aca="false">O389+P389</f>
        <v>-7.96561775537031</v>
      </c>
      <c r="R389" s="11" t="n">
        <f aca="false">EXP(Q389-MAX($Q$7:$Q$506))</f>
        <v>0.0105318931190667</v>
      </c>
      <c r="S389" s="11" t="n">
        <f aca="false">SUM($R$7:R389)/SUM($R$7:$R$506)</f>
        <v>0.996511712722989</v>
      </c>
    </row>
    <row r="390" customFormat="false" ht="15" hidden="false" customHeight="false" outlineLevel="0" collapsed="false">
      <c r="N390" s="12" t="n">
        <f aca="false">N389+0.01</f>
        <v>3.87999999999996</v>
      </c>
      <c r="O390" s="9" t="n">
        <f aca="false">SUMPRODUCT($F$7:$F$26,LN(1-EXP(-N390*$E$7:$E$26)+0.000000000001))-N390*SUMPRODUCT($G$7:$G$26,$E$7:$E$26)</f>
        <v>-2.36131748552197</v>
      </c>
      <c r="P390" s="9" t="n">
        <f aca="false">-0.5*((LN(N390)-LN($B$3))/$B$4)^2-LN(N390)</f>
        <v>-5.6260207215564</v>
      </c>
      <c r="Q390" s="9" t="n">
        <f aca="false">O390+P390</f>
        <v>-7.98733820707837</v>
      </c>
      <c r="R390" s="11" t="n">
        <f aca="false">EXP(Q390-MAX($Q$7:$Q$506))</f>
        <v>0.0103056021111579</v>
      </c>
      <c r="S390" s="11" t="n">
        <f aca="false">SUM($R$7:R390)/SUM($R$7:$R$506)</f>
        <v>0.996592467305301</v>
      </c>
    </row>
    <row r="391" customFormat="false" ht="15" hidden="false" customHeight="false" outlineLevel="0" collapsed="false">
      <c r="N391" s="12" t="n">
        <f aca="false">N390+0.01</f>
        <v>3.88999999999996</v>
      </c>
      <c r="O391" s="9" t="n">
        <f aca="false">SUMPRODUCT($F$7:$F$26,LN(1-EXP(-N391*$E$7:$E$26)+0.000000000001))-N391*SUMPRODUCT($G$7:$G$26,$E$7:$E$26)</f>
        <v>-2.36540130694505</v>
      </c>
      <c r="P391" s="9" t="n">
        <f aca="false">-0.5*((LN(N391)-LN($B$3))/$B$4)^2-LN(N391)</f>
        <v>-5.64365247050667</v>
      </c>
      <c r="Q391" s="9" t="n">
        <f aca="false">O391+P391</f>
        <v>-8.00905377745171</v>
      </c>
      <c r="R391" s="11" t="n">
        <f aca="false">EXP(Q391-MAX($Q$7:$Q$506))</f>
        <v>0.0100842224753279</v>
      </c>
      <c r="S391" s="11" t="n">
        <f aca="false">SUM($R$7:R391)/SUM($R$7:$R$506)</f>
        <v>0.996671487159274</v>
      </c>
    </row>
    <row r="392" customFormat="false" ht="15" hidden="false" customHeight="false" outlineLevel="0" collapsed="false">
      <c r="N392" s="12" t="n">
        <f aca="false">N391+0.01</f>
        <v>3.89999999999996</v>
      </c>
      <c r="O392" s="9" t="n">
        <f aca="false">SUMPRODUCT($F$7:$F$26,LN(1-EXP(-N392*$E$7:$E$26)+0.000000000001))-N392*SUMPRODUCT($G$7:$G$26,$E$7:$E$26)</f>
        <v>-2.3694990056875</v>
      </c>
      <c r="P392" s="9" t="n">
        <f aca="false">-0.5*((LN(N392)-LN($B$3))/$B$4)^2-LN(N392)</f>
        <v>-5.66126535177093</v>
      </c>
      <c r="Q392" s="9" t="n">
        <f aca="false">O392+P392</f>
        <v>-8.03076435745843</v>
      </c>
      <c r="R392" s="11" t="n">
        <f aca="false">EXP(Q392-MAX($Q$7:$Q$506))</f>
        <v>0.00986764764585222</v>
      </c>
      <c r="S392" s="11" t="n">
        <f aca="false">SUM($R$7:R392)/SUM($R$7:$R$506)</f>
        <v>0.996748809935318</v>
      </c>
    </row>
    <row r="393" customFormat="false" ht="15" hidden="false" customHeight="false" outlineLevel="0" collapsed="false">
      <c r="N393" s="12" t="n">
        <f aca="false">N392+0.01</f>
        <v>3.90999999999996</v>
      </c>
      <c r="O393" s="9" t="n">
        <f aca="false">SUMPRODUCT($F$7:$F$26,LN(1-EXP(-N393*$E$7:$E$26)+0.000000000001))-N393*SUMPRODUCT($G$7:$G$26,$E$7:$E$26)</f>
        <v>-2.37361044522828</v>
      </c>
      <c r="P393" s="9" t="n">
        <f aca="false">-0.5*((LN(N393)-LN($B$3))/$B$4)^2-LN(N393)</f>
        <v>-5.67885939446362</v>
      </c>
      <c r="Q393" s="9" t="n">
        <f aca="false">O393+P393</f>
        <v>-8.0524698396919</v>
      </c>
      <c r="R393" s="11" t="n">
        <f aca="false">EXP(Q393-MAX($Q$7:$Q$506))</f>
        <v>0.00965577333054325</v>
      </c>
      <c r="S393" s="11" t="n">
        <f aca="false">SUM($R$7:R393)/SUM($R$7:$R$506)</f>
        <v>0.996824472466608</v>
      </c>
    </row>
    <row r="394" customFormat="false" ht="15" hidden="false" customHeight="false" outlineLevel="0" collapsed="false">
      <c r="N394" s="12" t="n">
        <f aca="false">N393+0.01</f>
        <v>3.91999999999996</v>
      </c>
      <c r="O394" s="9" t="n">
        <f aca="false">SUMPRODUCT($F$7:$F$26,LN(1-EXP(-N394*$E$7:$E$26)+0.000000000001))-N394*SUMPRODUCT($G$7:$G$26,$E$7:$E$26)</f>
        <v>-2.37773549052804</v>
      </c>
      <c r="P394" s="9" t="n">
        <f aca="false">-0.5*((LN(N394)-LN($B$3))/$B$4)^2-LN(N394)</f>
        <v>-5.69643462782055</v>
      </c>
      <c r="Q394" s="9" t="n">
        <f aca="false">O394+P394</f>
        <v>-8.07417011834859</v>
      </c>
      <c r="R394" s="11" t="n">
        <f aca="false">EXP(Q394-MAX($Q$7:$Q$506))</f>
        <v>0.00944849746447364</v>
      </c>
      <c r="S394" s="11" t="n">
        <f aca="false">SUM($R$7:R394)/SUM($R$7:$R$506)</f>
        <v>0.996898510786542</v>
      </c>
    </row>
    <row r="395" customFormat="false" ht="15" hidden="false" customHeight="false" outlineLevel="0" collapsed="false">
      <c r="N395" s="12" t="n">
        <f aca="false">N394+0.01</f>
        <v>3.92999999999996</v>
      </c>
      <c r="O395" s="9" t="n">
        <f aca="false">SUMPRODUCT($F$7:$F$26,LN(1-EXP(-N395*$E$7:$E$26)+0.000000000001))-N395*SUMPRODUCT($G$7:$G$26,$E$7:$E$26)</f>
        <v>-2.3818740080113</v>
      </c>
      <c r="P395" s="9" t="n">
        <f aca="false">-0.5*((LN(N395)-LN($B$3))/$B$4)^2-LN(N395)</f>
        <v>-5.71399108119503</v>
      </c>
      <c r="Q395" s="9" t="n">
        <f aca="false">O395+P395</f>
        <v>-8.09586508920633</v>
      </c>
      <c r="R395" s="11" t="n">
        <f aca="false">EXP(Q395-MAX($Q$7:$Q$506))</f>
        <v>0.00924572016453883</v>
      </c>
      <c r="S395" s="11" t="n">
        <f aca="false">SUM($R$7:R395)/SUM($R$7:$R$506)</f>
        <v>0.996970960145833</v>
      </c>
    </row>
    <row r="396" customFormat="false" ht="15" hidden="false" customHeight="false" outlineLevel="0" collapsed="false">
      <c r="N396" s="12" t="n">
        <f aca="false">N395+0.01</f>
        <v>3.93999999999996</v>
      </c>
      <c r="O396" s="9" t="n">
        <f aca="false">SUMPRODUCT($F$7:$F$26,LN(1-EXP(-N396*$E$7:$E$26)+0.000000000001))-N396*SUMPRODUCT($G$7:$G$26,$E$7:$E$26)</f>
        <v>-2.38602586554865</v>
      </c>
      <c r="P396" s="9" t="n">
        <f aca="false">-0.5*((LN(N396)-LN($B$3))/$B$4)^2-LN(N396)</f>
        <v>-5.73152878405413</v>
      </c>
      <c r="Q396" s="9" t="n">
        <f aca="false">O396+P396</f>
        <v>-8.11755464960278</v>
      </c>
      <c r="R396" s="11" t="n">
        <f aca="false">EXP(Q396-MAX($Q$7:$Q$506))</f>
        <v>0.00904734368484931</v>
      </c>
      <c r="S396" s="11" t="n">
        <f aca="false">SUM($R$7:R396)/SUM($R$7:$R$506)</f>
        <v>0.997041855029258</v>
      </c>
    </row>
    <row r="397" customFormat="false" ht="15" hidden="false" customHeight="false" outlineLevel="0" collapsed="false">
      <c r="N397" s="12" t="n">
        <f aca="false">N396+0.01</f>
        <v>3.94999999999996</v>
      </c>
      <c r="O397" s="9" t="n">
        <f aca="false">SUMPRODUCT($F$7:$F$26,LN(1-EXP(-N397*$E$7:$E$26)+0.000000000001))-N397*SUMPRODUCT($G$7:$G$26,$E$7:$E$26)</f>
        <v>-2.39019093243938</v>
      </c>
      <c r="P397" s="9" t="n">
        <f aca="false">-0.5*((LN(N397)-LN($B$3))/$B$4)^2-LN(N397)</f>
        <v>-5.74904776597492</v>
      </c>
      <c r="Q397" s="9" t="n">
        <f aca="false">O397+P397</f>
        <v>-8.1392386984143</v>
      </c>
      <c r="R397" s="11" t="n">
        <f aca="false">EXP(Q397-MAX($Q$7:$Q$506))</f>
        <v>0.00885327237294115</v>
      </c>
      <c r="S397" s="11" t="n">
        <f aca="false">SUM($R$7:R397)/SUM($R$7:$R$506)</f>
        <v>0.997111229172065</v>
      </c>
    </row>
    <row r="398" customFormat="false" ht="15" hidden="false" customHeight="false" outlineLevel="0" collapsed="false">
      <c r="N398" s="12" t="n">
        <f aca="false">N397+0.01</f>
        <v>3.95999999999996</v>
      </c>
      <c r="O398" s="9" t="n">
        <f aca="false">SUMPRODUCT($F$7:$F$26,LN(1-EXP(-N398*$E$7:$E$26)+0.000000000001))-N398*SUMPRODUCT($G$7:$G$26,$E$7:$E$26)</f>
        <v>-2.39436907939423</v>
      </c>
      <c r="P398" s="9" t="n">
        <f aca="false">-0.5*((LN(N398)-LN($B$3))/$B$4)^2-LN(N398)</f>
        <v>-5.76654805664083</v>
      </c>
      <c r="Q398" s="9" t="n">
        <f aca="false">O398+P398</f>
        <v>-8.16091713603506</v>
      </c>
      <c r="R398" s="11" t="n">
        <f aca="false">EXP(Q398-MAX($Q$7:$Q$506))</f>
        <v>0.00866341262679423</v>
      </c>
      <c r="S398" s="11" t="n">
        <f aca="false">SUM($R$7:R398)/SUM($R$7:$R$506)</f>
        <v>0.997179115576034</v>
      </c>
    </row>
    <row r="399" customFormat="false" ht="15" hidden="false" customHeight="false" outlineLevel="0" collapsed="false">
      <c r="N399" s="12" t="n">
        <f aca="false">N398+0.01</f>
        <v>3.96999999999996</v>
      </c>
      <c r="O399" s="9" t="n">
        <f aca="false">SUMPRODUCT($F$7:$F$26,LN(1-EXP(-N399*$E$7:$E$26)+0.000000000001))-N399*SUMPRODUCT($G$7:$G$26,$E$7:$E$26)</f>
        <v>-2.39856017851843</v>
      </c>
      <c r="P399" s="9" t="n">
        <f aca="false">-0.5*((LN(N399)-LN($B$3))/$B$4)^2-LN(N399)</f>
        <v>-5.7840296858381</v>
      </c>
      <c r="Q399" s="9" t="n">
        <f aca="false">O399+P399</f>
        <v>-8.18258986435653</v>
      </c>
      <c r="R399" s="11" t="n">
        <f aca="false">EXP(Q399-MAX($Q$7:$Q$506))</f>
        <v>0.00847767285264686</v>
      </c>
      <c r="S399" s="11" t="n">
        <f aca="false">SUM($R$7:R399)/SUM($R$7:$R$506)</f>
        <v>0.997245546525221</v>
      </c>
    </row>
    <row r="400" customFormat="false" ht="15" hidden="false" customHeight="false" outlineLevel="0" collapsed="false">
      <c r="N400" s="12" t="n">
        <f aca="false">N399+0.01</f>
        <v>3.97999999999996</v>
      </c>
      <c r="O400" s="9" t="n">
        <f aca="false">SUMPRODUCT($F$7:$F$26,LN(1-EXP(-N400*$E$7:$E$26)+0.000000000001))-N400*SUMPRODUCT($G$7:$G$26,$E$7:$E$26)</f>
        <v>-2.40276410329492</v>
      </c>
      <c r="P400" s="9" t="n">
        <f aca="false">-0.5*((LN(N400)-LN($B$3))/$B$4)^2-LN(N400)</f>
        <v>-5.80149268345226</v>
      </c>
      <c r="Q400" s="9" t="n">
        <f aca="false">O400+P400</f>
        <v>-8.20425678674718</v>
      </c>
      <c r="R400" s="11" t="n">
        <f aca="false">EXP(Q400-MAX($Q$7:$Q$506))</f>
        <v>0.00829596342359603</v>
      </c>
      <c r="S400" s="11" t="n">
        <f aca="false">SUM($R$7:R400)/SUM($R$7:$R$506)</f>
        <v>0.997310553601365</v>
      </c>
    </row>
    <row r="401" customFormat="false" ht="15" hidden="false" customHeight="false" outlineLevel="0" collapsed="false">
      <c r="N401" s="12" t="n">
        <f aca="false">N400+0.01</f>
        <v>3.98999999999996</v>
      </c>
      <c r="O401" s="9" t="n">
        <f aca="false">SUMPRODUCT($F$7:$F$26,LN(1-EXP(-N401*$E$7:$E$26)+0.000000000001))-N401*SUMPRODUCT($G$7:$G$26,$E$7:$E$26)</f>
        <v>-2.40698072856784</v>
      </c>
      <c r="P401" s="9" t="n">
        <f aca="false">-0.5*((LN(N401)-LN($B$3))/$B$4)^2-LN(N401)</f>
        <v>-5.81893707946471</v>
      </c>
      <c r="Q401" s="9" t="n">
        <f aca="false">O401+P401</f>
        <v>-8.22591780803255</v>
      </c>
      <c r="R401" s="11" t="n">
        <f aca="false">EXP(Q401-MAX($Q$7:$Q$506))</f>
        <v>0.00811819663897226</v>
      </c>
      <c r="S401" s="11" t="n">
        <f aca="false">SUM($R$7:R401)/SUM($R$7:$R$506)</f>
        <v>0.997374167698982</v>
      </c>
    </row>
    <row r="402" customFormat="false" ht="15" hidden="false" customHeight="false" outlineLevel="0" collapsed="false">
      <c r="N402" s="12" t="n">
        <f aca="false">N401+0.01</f>
        <v>3.99999999999996</v>
      </c>
      <c r="O402" s="9" t="n">
        <f aca="false">SUMPRODUCT($F$7:$F$26,LN(1-EXP(-N402*$E$7:$E$26)+0.000000000001))-N402*SUMPRODUCT($G$7:$G$26,$E$7:$E$26)</f>
        <v>-2.41120993052626</v>
      </c>
      <c r="P402" s="9" t="n">
        <f aca="false">-0.5*((LN(N402)-LN($B$3))/$B$4)^2-LN(N402)</f>
        <v>-5.83636290394931</v>
      </c>
      <c r="Q402" s="9" t="n">
        <f aca="false">O402+P402</f>
        <v>-8.24757283447557</v>
      </c>
      <c r="R402" s="11" t="n">
        <f aca="false">EXP(Q402-MAX($Q$7:$Q$506))</f>
        <v>0.00794428668447781</v>
      </c>
      <c r="S402" s="11" t="n">
        <f aca="false">SUM($R$7:R402)/SUM($R$7:$R$506)</f>
        <v>0.997436419040151</v>
      </c>
    </row>
    <row r="403" customFormat="false" ht="15" hidden="false" customHeight="false" outlineLevel="0" collapsed="false">
      <c r="N403" s="12" t="n">
        <f aca="false">N402+0.01</f>
        <v>4.00999999999996</v>
      </c>
      <c r="O403" s="9" t="n">
        <f aca="false">SUMPRODUCT($F$7:$F$26,LN(1-EXP(-N403*$E$7:$E$26)+0.000000000001))-N403*SUMPRODUCT($G$7:$G$26,$E$7:$E$26)</f>
        <v>-2.41545158668803</v>
      </c>
      <c r="P403" s="9" t="n">
        <f aca="false">-0.5*((LN(N403)-LN($B$3))/$B$4)^2-LN(N403)</f>
        <v>-5.85377018706916</v>
      </c>
      <c r="Q403" s="9" t="n">
        <f aca="false">O403+P403</f>
        <v>-8.26922177375719</v>
      </c>
      <c r="R403" s="11" t="n">
        <f aca="false">EXP(Q403-MAX($Q$7:$Q$506))</f>
        <v>0.00777414959307758</v>
      </c>
      <c r="S403" s="11" t="n">
        <f aca="false">SUM($R$7:R403)/SUM($R$7:$R$506)</f>
        <v>0.997497337188983</v>
      </c>
    </row>
    <row r="404" customFormat="false" ht="15" hidden="false" customHeight="false" outlineLevel="0" collapsed="false">
      <c r="N404" s="12" t="n">
        <f aca="false">N403+0.01</f>
        <v>4.01999999999996</v>
      </c>
      <c r="O404" s="9" t="n">
        <f aca="false">SUMPRODUCT($F$7:$F$26,LN(1-EXP(-N404*$E$7:$E$26)+0.000000000001))-N404*SUMPRODUCT($G$7:$G$26,$E$7:$E$26)</f>
        <v>-2.41970557588397</v>
      </c>
      <c r="P404" s="9" t="n">
        <f aca="false">-0.5*((LN(N404)-LN($B$3))/$B$4)^2-LN(N404)</f>
        <v>-5.87115895907329</v>
      </c>
      <c r="Q404" s="9" t="n">
        <f aca="false">O404+P404</f>
        <v>-8.29086453495726</v>
      </c>
      <c r="R404" s="11" t="n">
        <f aca="false">EXP(Q404-MAX($Q$7:$Q$506))</f>
        <v>0.00760770320663122</v>
      </c>
      <c r="S404" s="11" t="n">
        <f aca="false">SUM($R$7:R404)/SUM($R$7:$R$506)</f>
        <v>0.997556951065802</v>
      </c>
    </row>
    <row r="405" customFormat="false" ht="15" hidden="false" customHeight="false" outlineLevel="0" collapsed="false">
      <c r="N405" s="12" t="n">
        <f aca="false">N404+0.01</f>
        <v>4.02999999999996</v>
      </c>
      <c r="O405" s="9" t="n">
        <f aca="false">SUMPRODUCT($F$7:$F$26,LN(1-EXP(-N405*$E$7:$E$26)+0.000000000001))-N405*SUMPRODUCT($G$7:$G$26,$E$7:$E$26)</f>
        <v>-2.42397177824216</v>
      </c>
      <c r="P405" s="9" t="n">
        <f aca="false">-0.5*((LN(N405)-LN($B$3))/$B$4)^2-LN(N405)</f>
        <v>-5.88852925029353</v>
      </c>
      <c r="Q405" s="9" t="n">
        <f aca="false">O405+P405</f>
        <v>-8.31250102853569</v>
      </c>
      <c r="R405" s="11" t="n">
        <f aca="false">EXP(Q405-MAX($Q$7:$Q$506))</f>
        <v>0.00744486713825593</v>
      </c>
      <c r="S405" s="11" t="n">
        <f aca="false">SUM($R$7:R405)/SUM($R$7:$R$506)</f>
        <v>0.99761528896102</v>
      </c>
    </row>
    <row r="406" customFormat="false" ht="15" hidden="false" customHeight="false" outlineLevel="0" collapsed="false">
      <c r="N406" s="12" t="n">
        <f aca="false">N405+0.01</f>
        <v>4.03999999999996</v>
      </c>
      <c r="O406" s="9" t="n">
        <f aca="false">SUMPRODUCT($F$7:$F$26,LN(1-EXP(-N406*$E$7:$E$26)+0.000000000001))-N406*SUMPRODUCT($G$7:$G$26,$E$7:$E$26)</f>
        <v>-2.42825007517256</v>
      </c>
      <c r="P406" s="9" t="n">
        <f aca="false">-0.5*((LN(N406)-LN($B$3))/$B$4)^2-LN(N406)</f>
        <v>-5.90588109114137</v>
      </c>
      <c r="Q406" s="9" t="n">
        <f aca="false">O406+P406</f>
        <v>-8.33413116631394</v>
      </c>
      <c r="R406" s="11" t="n">
        <f aca="false">EXP(Q406-MAX($Q$7:$Q$506))</f>
        <v>0.00728556273540853</v>
      </c>
      <c r="S406" s="11" t="n">
        <f aca="false">SUM($R$7:R406)/SUM($R$7:$R$506)</f>
        <v>0.997672378548727</v>
      </c>
    </row>
    <row r="407" customFormat="false" ht="15" hidden="false" customHeight="false" outlineLevel="0" collapsed="false">
      <c r="N407" s="12" t="n">
        <f aca="false">N406+0.01</f>
        <v>4.04999999999996</v>
      </c>
      <c r="O407" s="9" t="n">
        <f aca="false">SUMPRODUCT($F$7:$F$26,LN(1-EXP(-N407*$E$7:$E$26)+0.000000000001))-N407*SUMPRODUCT($G$7:$G$26,$E$7:$E$26)</f>
        <v>-2.43254034935171</v>
      </c>
      <c r="P407" s="9" t="n">
        <f aca="false">-0.5*((LN(N407)-LN($B$3))/$B$4)^2-LN(N407)</f>
        <v>-5.92321451210496</v>
      </c>
      <c r="Q407" s="9" t="n">
        <f aca="false">O407+P407</f>
        <v>-8.35575486145667</v>
      </c>
      <c r="R407" s="11" t="n">
        <f aca="false">EXP(Q407-MAX($Q$7:$Q$506))</f>
        <v>0.00712971304367621</v>
      </c>
      <c r="S407" s="11" t="n">
        <f aca="false">SUM($R$7:R407)/SUM($R$7:$R$506)</f>
        <v>0.997728246900002</v>
      </c>
    </row>
    <row r="408" customFormat="false" ht="15" hidden="false" customHeight="false" outlineLevel="0" collapsed="false">
      <c r="N408" s="12" t="n">
        <f aca="false">N407+0.01</f>
        <v>4.05999999999996</v>
      </c>
      <c r="O408" s="9" t="n">
        <f aca="false">SUMPRODUCT($F$7:$F$26,LN(1-EXP(-N408*$E$7:$E$26)+0.000000000001))-N408*SUMPRODUCT($G$7:$G$26,$E$7:$E$26)</f>
        <v>-2.43684248470771</v>
      </c>
      <c r="P408" s="9" t="n">
        <f aca="false">-0.5*((LN(N408)-LN($B$3))/$B$4)^2-LN(N408)</f>
        <v>-5.94052954374607</v>
      </c>
      <c r="Q408" s="9" t="n">
        <f aca="false">O408+P408</f>
        <v>-8.37737202845378</v>
      </c>
      <c r="R408" s="11" t="n">
        <f aca="false">EXP(Q408-MAX($Q$7:$Q$506))</f>
        <v>0.00697724277126456</v>
      </c>
      <c r="S408" s="11" t="n">
        <f aca="false">SUM($R$7:R408)/SUM($R$7:$R$506)</f>
        <v>0.997782920495936</v>
      </c>
    </row>
    <row r="409" customFormat="false" ht="15" hidden="false" customHeight="false" outlineLevel="0" collapsed="false">
      <c r="N409" s="12" t="n">
        <f aca="false">N408+0.01</f>
        <v>4.06999999999996</v>
      </c>
      <c r="O409" s="9" t="n">
        <f aca="false">SUMPRODUCT($F$7:$F$26,LN(1-EXP(-N409*$E$7:$E$26)+0.000000000001))-N409*SUMPRODUCT($G$7:$G$26,$E$7:$E$26)</f>
        <v>-2.44115636640539</v>
      </c>
      <c r="P409" s="9" t="n">
        <f aca="false">-0.5*((LN(N409)-LN($B$3))/$B$4)^2-LN(N409)</f>
        <v>-5.95782621669717</v>
      </c>
      <c r="Q409" s="9" t="n">
        <f aca="false">O409+P409</f>
        <v>-8.39898258310256</v>
      </c>
      <c r="R409" s="11" t="n">
        <f aca="false">EXP(Q409-MAX($Q$7:$Q$506))</f>
        <v>0.00682807825417286</v>
      </c>
      <c r="S409" s="11" t="n">
        <f aca="false">SUM($R$7:R409)/SUM($R$7:$R$506)</f>
        <v>0.99783642524039</v>
      </c>
    </row>
    <row r="410" customFormat="false" ht="15" hidden="false" customHeight="false" outlineLevel="0" collapsed="false">
      <c r="N410" s="12" t="n">
        <f aca="false">N409+0.01</f>
        <v>4.07999999999996</v>
      </c>
      <c r="O410" s="9" t="n">
        <f aca="false">SUMPRODUCT($F$7:$F$26,LN(1-EXP(-N410*$E$7:$E$26)+0.000000000001))-N410*SUMPRODUCT($G$7:$G$26,$E$7:$E$26)</f>
        <v>-2.44548188083167</v>
      </c>
      <c r="P410" s="9" t="n">
        <f aca="false">-0.5*((LN(N410)-LN($B$3))/$B$4)^2-LN(N410)</f>
        <v>-5.97510456165858</v>
      </c>
      <c r="Q410" s="9" t="n">
        <f aca="false">O410+P410</f>
        <v>-8.42058644249025</v>
      </c>
      <c r="R410" s="11" t="n">
        <f aca="false">EXP(Q410-MAX($Q$7:$Q$506))</f>
        <v>0.00668214742204467</v>
      </c>
      <c r="S410" s="11" t="n">
        <f aca="false">SUM($R$7:R410)/SUM($R$7:$R$506)</f>
        <v>0.997888786472484</v>
      </c>
    </row>
    <row r="411" customFormat="false" ht="15" hidden="false" customHeight="false" outlineLevel="0" collapsed="false">
      <c r="N411" s="12" t="n">
        <f aca="false">N410+0.01</f>
        <v>4.08999999999996</v>
      </c>
      <c r="O411" s="9" t="n">
        <f aca="false">SUMPRODUCT($F$7:$F$26,LN(1-EXP(-N411*$E$7:$E$26)+0.000000000001))-N411*SUMPRODUCT($G$7:$G$26,$E$7:$E$26)</f>
        <v>-2.44981891558109</v>
      </c>
      <c r="P411" s="9" t="n">
        <f aca="false">-0.5*((LN(N411)-LN($B$3))/$B$4)^2-LN(N411)</f>
        <v>-5.99236460939566</v>
      </c>
      <c r="Q411" s="9" t="n">
        <f aca="false">O411+P411</f>
        <v>-8.44218352497675</v>
      </c>
      <c r="R411" s="11" t="n">
        <f aca="false">EXP(Q411-MAX($Q$7:$Q$506))</f>
        <v>0.00653937976468404</v>
      </c>
      <c r="S411" s="11" t="n">
        <f aca="false">SUM($R$7:R411)/SUM($R$7:$R$506)</f>
        <v>0.99794002897882</v>
      </c>
    </row>
    <row r="412" customFormat="false" ht="15" hidden="false" customHeight="false" outlineLevel="0" collapsed="false">
      <c r="N412" s="12" t="n">
        <f aca="false">N411+0.01</f>
        <v>4.09999999999996</v>
      </c>
      <c r="O412" s="9" t="n">
        <f aca="false">SUMPRODUCT($F$7:$F$26,LN(1-EXP(-N412*$E$7:$E$26)+0.000000000001))-N412*SUMPRODUCT($G$7:$G$26,$E$7:$E$26)</f>
        <v>-2.45416735944158</v>
      </c>
      <c r="P412" s="9" t="n">
        <f aca="false">-0.5*((LN(N412)-LN($B$3))/$B$4)^2-LN(N412)</f>
        <v>-6.009606390736</v>
      </c>
      <c r="Q412" s="9" t="n">
        <f aca="false">O412+P412</f>
        <v>-8.46377375017757</v>
      </c>
      <c r="R412" s="11" t="n">
        <f aca="false">EXP(Q412-MAX($Q$7:$Q$506))</f>
        <v>0.00639970629922598</v>
      </c>
      <c r="S412" s="11" t="n">
        <f aca="false">SUM($R$7:R412)/SUM($R$7:$R$506)</f>
        <v>0.99799017700545</v>
      </c>
    </row>
    <row r="413" customFormat="false" ht="15" hidden="false" customHeight="false" outlineLevel="0" collapsed="false">
      <c r="N413" s="12" t="n">
        <f aca="false">N412+0.01</f>
        <v>4.10999999999996</v>
      </c>
      <c r="O413" s="9" t="n">
        <f aca="false">SUMPRODUCT($F$7:$F$26,LN(1-EXP(-N413*$E$7:$E$26)+0.000000000001))-N413*SUMPRODUCT($G$7:$G$26,$E$7:$E$26)</f>
        <v>-2.45852710238037</v>
      </c>
      <c r="P413" s="9" t="n">
        <f aca="false">-0.5*((LN(N413)-LN($B$3))/$B$4)^2-LN(N413)</f>
        <v>-6.02682993656676</v>
      </c>
      <c r="Q413" s="9" t="n">
        <f aca="false">O413+P413</f>
        <v>-8.48535703894712</v>
      </c>
      <c r="R413" s="11" t="n">
        <f aca="false">EXP(Q413-MAX($Q$7:$Q$506))</f>
        <v>0.00626305953795084</v>
      </c>
      <c r="S413" s="11" t="n">
        <f aca="false">SUM($R$7:R413)/SUM($R$7:$R$506)</f>
        <v>0.998039254269595</v>
      </c>
    </row>
    <row r="414" customFormat="false" ht="15" hidden="false" customHeight="false" outlineLevel="0" collapsed="false">
      <c r="N414" s="12" t="n">
        <f aca="false">N413+0.01</f>
        <v>4.11999999999996</v>
      </c>
      <c r="O414" s="9" t="n">
        <f aca="false">SUMPRODUCT($F$7:$F$26,LN(1-EXP(-N414*$E$7:$E$26)+0.000000000001))-N414*SUMPRODUCT($G$7:$G$26,$E$7:$E$26)</f>
        <v>-2.46289803553013</v>
      </c>
      <c r="P414" s="9" t="n">
        <f aca="false">-0.5*((LN(N414)-LN($B$3))/$B$4)^2-LN(N414)</f>
        <v>-6.04403527783199</v>
      </c>
      <c r="Q414" s="9" t="n">
        <f aca="false">O414+P414</f>
        <v>-8.50693331336212</v>
      </c>
      <c r="R414" s="11" t="n">
        <f aca="false">EXP(Q414-MAX($Q$7:$Q$506))</f>
        <v>0.00612937345673193</v>
      </c>
      <c r="S414" s="11" t="n">
        <f aca="false">SUM($R$7:R414)/SUM($R$7:$R$506)</f>
        <v>0.99808728397111</v>
      </c>
    </row>
    <row r="415" customFormat="false" ht="15" hidden="false" customHeight="false" outlineLevel="0" collapsed="false">
      <c r="N415" s="12" t="n">
        <f aca="false">N414+0.01</f>
        <v>4.12999999999996</v>
      </c>
      <c r="O415" s="9" t="n">
        <f aca="false">SUMPRODUCT($F$7:$F$26,LN(1-EXP(-N415*$E$7:$E$26)+0.000000000001))-N415*SUMPRODUCT($G$7:$G$26,$E$7:$E$26)</f>
        <v>-2.46728005117524</v>
      </c>
      <c r="P415" s="9" t="n">
        <f aca="false">-0.5*((LN(N415)-LN($B$3))/$B$4)^2-LN(N415)</f>
        <v>-6.06122244553007</v>
      </c>
      <c r="Q415" s="9" t="n">
        <f aca="false">O415+P415</f>
        <v>-8.52850249670531</v>
      </c>
      <c r="R415" s="11" t="n">
        <f aca="false">EXP(Q415-MAX($Q$7:$Q$506))</f>
        <v>0.0059985834641061</v>
      </c>
      <c r="S415" s="11" t="n">
        <f aca="false">SUM($R$7:R415)/SUM($R$7:$R$506)</f>
        <v>0.998134288803712</v>
      </c>
    </row>
    <row r="416" customFormat="false" ht="15" hidden="false" customHeight="false" outlineLevel="0" collapsed="false">
      <c r="N416" s="12" t="n">
        <f aca="false">N415+0.01</f>
        <v>4.13999999999996</v>
      </c>
      <c r="O416" s="9" t="n">
        <f aca="false">SUMPRODUCT($F$7:$F$26,LN(1-EXP(-N416*$E$7:$E$26)+0.000000000001))-N416*SUMPRODUCT($G$7:$G$26,$E$7:$E$26)</f>
        <v>-2.47167304273831</v>
      </c>
      <c r="P416" s="9" t="n">
        <f aca="false">-0.5*((LN(N416)-LN($B$3))/$B$4)^2-LN(N416)</f>
        <v>-6.0783914707111</v>
      </c>
      <c r="Q416" s="9" t="n">
        <f aca="false">O416+P416</f>
        <v>-8.5500645134494</v>
      </c>
      <c r="R416" s="11" t="n">
        <f aca="false">EXP(Q416-MAX($Q$7:$Q$506))</f>
        <v>0.00587062637095666</v>
      </c>
      <c r="S416" s="11" t="n">
        <f aca="false">SUM($R$7:R416)/SUM($R$7:$R$506)</f>
        <v>0.998180290965971</v>
      </c>
    </row>
    <row r="417" customFormat="false" ht="15" hidden="false" customHeight="false" outlineLevel="0" collapsed="false">
      <c r="N417" s="12" t="n">
        <f aca="false">N416+0.01</f>
        <v>4.14999999999996</v>
      </c>
      <c r="O417" s="9" t="n">
        <f aca="false">SUMPRODUCT($F$7:$F$26,LN(1-EXP(-N417*$E$7:$E$26)+0.000000000001))-N417*SUMPRODUCT($G$7:$G$26,$E$7:$E$26)</f>
        <v>-2.47607690476678</v>
      </c>
      <c r="P417" s="9" t="n">
        <f aca="false">-0.5*((LN(N417)-LN($B$3))/$B$4)^2-LN(N417)</f>
        <v>-6.09554238447444</v>
      </c>
      <c r="Q417" s="9" t="n">
        <f aca="false">O417+P417</f>
        <v>-8.57161928924122</v>
      </c>
      <c r="R417" s="11" t="n">
        <f aca="false">EXP(Q417-MAX($Q$7:$Q$506))</f>
        <v>0.00574544036079848</v>
      </c>
      <c r="S417" s="11" t="n">
        <f aca="false">SUM($R$7:R417)/SUM($R$7:$R$506)</f>
        <v>0.998225312172062</v>
      </c>
    </row>
    <row r="418" customFormat="false" ht="15" hidden="false" customHeight="false" outlineLevel="0" collapsed="false">
      <c r="N418" s="12" t="n">
        <f aca="false">N417+0.01</f>
        <v>4.15999999999996</v>
      </c>
      <c r="O418" s="9" t="n">
        <f aca="false">SUMPRODUCT($F$7:$F$26,LN(1-EXP(-N418*$E$7:$E$26)+0.000000000001))-N418*SUMPRODUCT($G$7:$G$26,$E$7:$E$26)</f>
        <v>-2.48049153291981</v>
      </c>
      <c r="P418" s="9" t="n">
        <f aca="false">-0.5*((LN(N418)-LN($B$3))/$B$4)^2-LN(N418)</f>
        <v>-6.11267521796626</v>
      </c>
      <c r="Q418" s="9" t="n">
        <f aca="false">O418+P418</f>
        <v>-8.59316675088607</v>
      </c>
      <c r="R418" s="11" t="n">
        <f aca="false">EXP(Q418-MAX($Q$7:$Q$506))</f>
        <v>0.00562296496065519</v>
      </c>
      <c r="S418" s="11" t="n">
        <f aca="false">SUM($R$7:R418)/SUM($R$7:$R$506)</f>
        <v>0.998269373662293</v>
      </c>
    </row>
    <row r="419" customFormat="false" ht="15" hidden="false" customHeight="false" outlineLevel="0" collapsed="false">
      <c r="N419" s="12" t="n">
        <f aca="false">N418+0.01</f>
        <v>4.16999999999996</v>
      </c>
      <c r="O419" s="9" t="n">
        <f aca="false">SUMPRODUCT($F$7:$F$26,LN(1-EXP(-N419*$E$7:$E$26)+0.000000000001))-N419*SUMPRODUCT($G$7:$G$26,$E$7:$E$26)</f>
        <v>-2.48491682395526</v>
      </c>
      <c r="P419" s="9" t="n">
        <f aca="false">-0.5*((LN(N419)-LN($B$3))/$B$4)^2-LN(N419)</f>
        <v>-6.12979000237713</v>
      </c>
      <c r="Q419" s="9" t="n">
        <f aca="false">O419+P419</f>
        <v>-8.61470682633239</v>
      </c>
      <c r="R419" s="11" t="n">
        <f aca="false">EXP(Q419-MAX($Q$7:$Q$506))</f>
        <v>0.00550314101251798</v>
      </c>
      <c r="S419" s="11" t="n">
        <f aca="false">SUM($R$7:R419)/SUM($R$7:$R$506)</f>
        <v>0.998312496213414</v>
      </c>
    </row>
    <row r="420" customFormat="false" ht="15" hidden="false" customHeight="false" outlineLevel="0" collapsed="false">
      <c r="N420" s="12" t="n">
        <f aca="false">N419+0.01</f>
        <v>4.17999999999996</v>
      </c>
      <c r="O420" s="9" t="n">
        <f aca="false">SUMPRODUCT($F$7:$F$26,LN(1-EXP(-N420*$E$7:$E$26)+0.000000000001))-N420*SUMPRODUCT($G$7:$G$26,$E$7:$E$26)</f>
        <v>-2.48935267571683</v>
      </c>
      <c r="P420" s="9" t="n">
        <f aca="false">-0.5*((LN(N420)-LN($B$3))/$B$4)^2-LN(N420)</f>
        <v>-6.14688676893966</v>
      </c>
      <c r="Q420" s="9" t="n">
        <f aca="false">O420+P420</f>
        <v>-8.63623944465649</v>
      </c>
      <c r="R420" s="11" t="n">
        <f aca="false">EXP(Q420-MAX($Q$7:$Q$506))</f>
        <v>0.00538591064537653</v>
      </c>
      <c r="S420" s="11" t="n">
        <f aca="false">SUM($R$7:R420)/SUM($R$7:$R$506)</f>
        <v>0.998354700148695</v>
      </c>
    </row>
    <row r="421" customFormat="false" ht="15" hidden="false" customHeight="false" outlineLevel="0" collapsed="false">
      <c r="N421" s="12" t="n">
        <f aca="false">N420+0.01</f>
        <v>4.18999999999996</v>
      </c>
      <c r="O421" s="9" t="n">
        <f aca="false">SUMPRODUCT($F$7:$F$26,LN(1-EXP(-N421*$E$7:$E$26)+0.000000000001))-N421*SUMPRODUCT($G$7:$G$26,$E$7:$E$26)</f>
        <v>-2.49379898712147</v>
      </c>
      <c r="P421" s="9" t="n">
        <f aca="false">-0.5*((LN(N421)-LN($B$3))/$B$4)^2-LN(N421)</f>
        <v>-6.1639655489262</v>
      </c>
      <c r="Q421" s="9" t="n">
        <f aca="false">O421+P421</f>
        <v>-8.65776453604767</v>
      </c>
      <c r="R421" s="11" t="n">
        <f aca="false">EXP(Q421-MAX($Q$7:$Q$506))</f>
        <v>0.0052712172478116</v>
      </c>
      <c r="S421" s="11" t="n">
        <f aca="false">SUM($R$7:R421)/SUM($R$7:$R$506)</f>
        <v>0.998396005347802</v>
      </c>
    </row>
    <row r="422" customFormat="false" ht="15" hidden="false" customHeight="false" outlineLevel="0" collapsed="false">
      <c r="N422" s="12" t="n">
        <f aca="false">N421+0.01</f>
        <v>4.19999999999996</v>
      </c>
      <c r="O422" s="9" t="n">
        <f aca="false">SUMPRODUCT($F$7:$F$26,LN(1-EXP(-N422*$E$7:$E$26)+0.000000000001))-N422*SUMPRODUCT($G$7:$G$26,$E$7:$E$26)</f>
        <v>-2.49825565814683</v>
      </c>
      <c r="P422" s="9" t="n">
        <f aca="false">-0.5*((LN(N422)-LN($B$3))/$B$4)^2-LN(N422)</f>
        <v>-6.18102637364657</v>
      </c>
      <c r="Q422" s="9" t="n">
        <f aca="false">O422+P422</f>
        <v>-8.6792820317934</v>
      </c>
      <c r="R422" s="11" t="n">
        <f aca="false">EXP(Q422-MAX($Q$7:$Q$506))</f>
        <v>0.00515900544113997</v>
      </c>
      <c r="S422" s="11" t="n">
        <f aca="false">SUM($R$7:R422)/SUM($R$7:$R$506)</f>
        <v>0.998436431256453</v>
      </c>
    </row>
    <row r="423" customFormat="false" ht="15" hidden="false" customHeight="false" outlineLevel="0" collapsed="false">
      <c r="N423" s="12" t="n">
        <f aca="false">N422+0.01</f>
        <v>4.20999999999996</v>
      </c>
      <c r="O423" s="9" t="n">
        <f aca="false">SUMPRODUCT($F$7:$F$26,LN(1-EXP(-N423*$E$7:$E$26)+0.000000000001))-N423*SUMPRODUCT($G$7:$G$26,$E$7:$E$26)</f>
        <v>-2.50272258981894</v>
      </c>
      <c r="P423" s="9" t="n">
        <f aca="false">-0.5*((LN(N423)-LN($B$3))/$B$4)^2-LN(N423)</f>
        <v>-6.19806927444588</v>
      </c>
      <c r="Q423" s="9" t="n">
        <f aca="false">O423+P423</f>
        <v>-8.70079186426481</v>
      </c>
      <c r="R423" s="11" t="n">
        <f aca="false">EXP(Q423-MAX($Q$7:$Q$506))</f>
        <v>0.00504922105310169</v>
      </c>
      <c r="S423" s="11" t="n">
        <f aca="false">SUM($R$7:R423)/SUM($R$7:$R$506)</f>
        <v>0.998475996895874</v>
      </c>
    </row>
    <row r="424" customFormat="false" ht="15" hidden="false" customHeight="false" outlineLevel="0" collapsed="false">
      <c r="N424" s="12" t="n">
        <f aca="false">N423+0.01</f>
        <v>4.21999999999995</v>
      </c>
      <c r="O424" s="9" t="n">
        <f aca="false">SUMPRODUCT($F$7:$F$26,LN(1-EXP(-N424*$E$7:$E$26)+0.000000000001))-N424*SUMPRODUCT($G$7:$G$26,$E$7:$E$26)</f>
        <v>-2.50719968420004</v>
      </c>
      <c r="P424" s="9" t="n">
        <f aca="false">-0.5*((LN(N424)-LN($B$3))/$B$4)^2-LN(N424)</f>
        <v>-6.21509428270228</v>
      </c>
      <c r="Q424" s="9" t="n">
        <f aca="false">O424+P424</f>
        <v>-8.72229396690232</v>
      </c>
      <c r="R424" s="11" t="n">
        <f aca="false">EXP(Q424-MAX($Q$7:$Q$506))</f>
        <v>0.00494181109208016</v>
      </c>
      <c r="S424" s="11" t="n">
        <f aca="false">SUM($R$7:R424)/SUM($R$7:$R$506)</f>
        <v>0.998514720872047</v>
      </c>
    </row>
    <row r="425" customFormat="false" ht="15" hidden="false" customHeight="false" outlineLevel="0" collapsed="false">
      <c r="N425" s="12" t="n">
        <f aca="false">N424+0.01</f>
        <v>4.22999999999995</v>
      </c>
      <c r="O425" s="9" t="n">
        <f aca="false">SUMPRODUCT($F$7:$F$26,LN(1-EXP(-N425*$E$7:$E$26)+0.000000000001))-N425*SUMPRODUCT($G$7:$G$26,$E$7:$E$26)</f>
        <v>-2.51168684437659</v>
      </c>
      <c r="P425" s="9" t="n">
        <f aca="false">-0.5*((LN(N425)-LN($B$3))/$B$4)^2-LN(N425)</f>
        <v>-6.23210142982491</v>
      </c>
      <c r="Q425" s="9" t="n">
        <f aca="false">O425+P425</f>
        <v>-8.7437882742015</v>
      </c>
      <c r="R425" s="11" t="n">
        <f aca="false">EXP(Q425-MAX($Q$7:$Q$506))</f>
        <v>0.00483672372184558</v>
      </c>
      <c r="S425" s="11" t="n">
        <f aca="false">SUM($R$7:R425)/SUM($R$7:$R$506)</f>
        <v>0.998552621384769</v>
      </c>
    </row>
    <row r="426" customFormat="false" ht="15" hidden="false" customHeight="false" outlineLevel="0" collapsed="false">
      <c r="N426" s="12" t="n">
        <f aca="false">N425+0.01</f>
        <v>4.23999999999995</v>
      </c>
      <c r="O426" s="9" t="n">
        <f aca="false">SUMPRODUCT($F$7:$F$26,LN(1-EXP(-N426*$E$7:$E$26)+0.000000000001))-N426*SUMPRODUCT($G$7:$G$26,$E$7:$E$26)</f>
        <v>-2.51618397444736</v>
      </c>
      <c r="P426" s="9" t="n">
        <f aca="false">-0.5*((LN(N426)-LN($B$3))/$B$4)^2-LN(N426)</f>
        <v>-6.24909074725177</v>
      </c>
      <c r="Q426" s="9" t="n">
        <f aca="false">O426+P426</f>
        <v>-8.76527472169913</v>
      </c>
      <c r="R426" s="11" t="n">
        <f aca="false">EXP(Q426-MAX($Q$7:$Q$506))</f>
        <v>0.00473390823681243</v>
      </c>
      <c r="S426" s="11" t="n">
        <f aca="false">SUM($R$7:R426)/SUM($R$7:$R$506)</f>
        <v>0.998589716236505</v>
      </c>
    </row>
    <row r="427" customFormat="false" ht="15" hidden="false" customHeight="false" outlineLevel="0" collapsed="false">
      <c r="N427" s="12" t="n">
        <f aca="false">N426+0.01</f>
        <v>4.24999999999995</v>
      </c>
      <c r="O427" s="9" t="n">
        <f aca="false">SUMPRODUCT($F$7:$F$26,LN(1-EXP(-N427*$E$7:$E$26)+0.000000000001))-N427*SUMPRODUCT($G$7:$G$26,$E$7:$E$26)</f>
        <v>-2.52069097951177</v>
      </c>
      <c r="P427" s="9" t="n">
        <f aca="false">-0.5*((LN(N427)-LN($B$3))/$B$4)^2-LN(N427)</f>
        <v>-6.26606226644767</v>
      </c>
      <c r="Q427" s="9" t="n">
        <f aca="false">O427+P427</f>
        <v>-8.78675324595944</v>
      </c>
      <c r="R427" s="11" t="n">
        <f aca="false">EXP(Q427-MAX($Q$7:$Q$506))</f>
        <v>0.00463331503780152</v>
      </c>
      <c r="S427" s="11" t="n">
        <f aca="false">SUM($R$7:R427)/SUM($R$7:$R$506)</f>
        <v>0.998626022841064</v>
      </c>
    </row>
    <row r="428" customFormat="false" ht="15" hidden="false" customHeight="false" outlineLevel="0" collapsed="false">
      <c r="N428" s="12" t="n">
        <f aca="false">N427+0.01</f>
        <v>4.25999999999995</v>
      </c>
      <c r="O428" s="9" t="n">
        <f aca="false">SUMPRODUCT($F$7:$F$26,LN(1-EXP(-N428*$E$7:$E$26)+0.000000000001))-N428*SUMPRODUCT($G$7:$G$26,$E$7:$E$26)</f>
        <v>-2.5252077656583</v>
      </c>
      <c r="P428" s="9" t="n">
        <f aca="false">-0.5*((LN(N428)-LN($B$3))/$B$4)^2-LN(N428)</f>
        <v>-6.28301601890226</v>
      </c>
      <c r="Q428" s="9" t="n">
        <f aca="false">O428+P428</f>
        <v>-8.80822378456055</v>
      </c>
      <c r="R428" s="11" t="n">
        <f aca="false">EXP(Q428-MAX($Q$7:$Q$506))</f>
        <v>0.00453489560829778</v>
      </c>
      <c r="S428" s="11" t="n">
        <f aca="false">SUM($R$7:R428)/SUM($R$7:$R$506)</f>
        <v>0.99866155823208</v>
      </c>
    </row>
    <row r="429" customFormat="false" ht="15" hidden="false" customHeight="false" outlineLevel="0" collapsed="false">
      <c r="N429" s="12" t="n">
        <f aca="false">N428+0.01</f>
        <v>4.26999999999995</v>
      </c>
      <c r="O429" s="9" t="n">
        <f aca="false">SUMPRODUCT($F$7:$F$26,LN(1-EXP(-N429*$E$7:$E$26)+0.000000000001))-N429*SUMPRODUCT($G$7:$G$26,$E$7:$E$26)</f>
        <v>-2.5297342399531</v>
      </c>
      <c r="P429" s="9" t="n">
        <f aca="false">-0.5*((LN(N429)-LN($B$3))/$B$4)^2-LN(N429)</f>
        <v>-6.29995203612801</v>
      </c>
      <c r="Q429" s="9" t="n">
        <f aca="false">O429+P429</f>
        <v>-8.82968627608111</v>
      </c>
      <c r="R429" s="11" t="n">
        <f aca="false">EXP(Q429-MAX($Q$7:$Q$506))</f>
        <v>0.00443860249119445</v>
      </c>
      <c r="S429" s="11" t="n">
        <f aca="false">SUM($R$7:R429)/SUM($R$7:$R$506)</f>
        <v>0.998696339071313</v>
      </c>
    </row>
    <row r="430" customFormat="false" ht="15" hidden="false" customHeight="false" outlineLevel="0" collapsed="false">
      <c r="N430" s="12" t="n">
        <f aca="false">N429+0.01</f>
        <v>4.27999999999995</v>
      </c>
      <c r="O430" s="9" t="n">
        <f aca="false">SUMPRODUCT($F$7:$F$26,LN(1-EXP(-N430*$E$7:$E$26)+0.000000000001))-N430*SUMPRODUCT($G$7:$G$26,$E$7:$E$26)</f>
        <v>-2.53427031042874</v>
      </c>
      <c r="P430" s="9" t="n">
        <f aca="false">-0.5*((LN(N430)-LN($B$3))/$B$4)^2-LN(N430)</f>
        <v>-6.31687034965835</v>
      </c>
      <c r="Q430" s="9" t="n">
        <f aca="false">O430+P430</f>
        <v>-8.85114066008708</v>
      </c>
      <c r="R430" s="11" t="n">
        <f aca="false">EXP(Q430-MAX($Q$7:$Q$506))</f>
        <v>0.00434438926601494</v>
      </c>
      <c r="S430" s="11" t="n">
        <f aca="false">SUM($R$7:R430)/SUM($R$7:$R$506)</f>
        <v>0.998730381656771</v>
      </c>
    </row>
    <row r="431" customFormat="false" ht="15" hidden="false" customHeight="false" outlineLevel="0" collapsed="false">
      <c r="N431" s="12" t="n">
        <f aca="false">N430+0.01</f>
        <v>4.28999999999995</v>
      </c>
      <c r="O431" s="9" t="n">
        <f aca="false">SUMPRODUCT($F$7:$F$26,LN(1-EXP(-N431*$E$7:$E$26)+0.000000000001))-N431*SUMPRODUCT($G$7:$G$26,$E$7:$E$26)</f>
        <v>-2.53881588607306</v>
      </c>
      <c r="P431" s="9" t="n">
        <f aca="false">-0.5*((LN(N431)-LN($B$3))/$B$4)^2-LN(N431)</f>
        <v>-6.3337709910457</v>
      </c>
      <c r="Q431" s="9" t="n">
        <f aca="false">O431+P431</f>
        <v>-8.87258687711877</v>
      </c>
      <c r="R431" s="11" t="n">
        <f aca="false">EXP(Q431-MAX($Q$7:$Q$506))</f>
        <v>0.00425221052660351</v>
      </c>
      <c r="S431" s="11" t="n">
        <f aca="false">SUM($R$7:R431)/SUM($R$7:$R$506)</f>
        <v>0.998763701930664</v>
      </c>
    </row>
    <row r="432" customFormat="false" ht="15" hidden="false" customHeight="false" outlineLevel="0" collapsed="false">
      <c r="N432" s="12" t="n">
        <f aca="false">N431+0.01</f>
        <v>4.29999999999995</v>
      </c>
      <c r="O432" s="9" t="n">
        <f aca="false">SUMPRODUCT($F$7:$F$26,LN(1-EXP(-N432*$E$7:$E$26)+0.000000000001))-N432*SUMPRODUCT($G$7:$G$26,$E$7:$E$26)</f>
        <v>-2.54337087681825</v>
      </c>
      <c r="P432" s="9" t="n">
        <f aca="false">-0.5*((LN(N432)-LN($B$3))/$B$4)^2-LN(N432)</f>
        <v>-6.35065399185972</v>
      </c>
      <c r="Q432" s="9" t="n">
        <f aca="false">O432+P432</f>
        <v>-8.89402486867797</v>
      </c>
      <c r="R432" s="11" t="n">
        <f aca="false">EXP(Q432-MAX($Q$7:$Q$506))</f>
        <v>0.00416202185927612</v>
      </c>
      <c r="S432" s="11" t="n">
        <f aca="false">SUM($R$7:R432)/SUM($R$7:$R$506)</f>
        <v>0.998796315487174</v>
      </c>
    </row>
    <row r="433" customFormat="false" ht="15" hidden="false" customHeight="false" outlineLevel="0" collapsed="false">
      <c r="N433" s="12" t="n">
        <f aca="false">N432+0.01</f>
        <v>4.30999999999995</v>
      </c>
      <c r="O433" s="9" t="n">
        <f aca="false">SUMPRODUCT($F$7:$F$26,LN(1-EXP(-N433*$E$7:$E$26)+0.000000000001))-N433*SUMPRODUCT($G$7:$G$26,$E$7:$E$26)</f>
        <v>-2.54793519352994</v>
      </c>
      <c r="P433" s="9" t="n">
        <f aca="false">-0.5*((LN(N433)-LN($B$3))/$B$4)^2-LN(N433)</f>
        <v>-6.36751938368539</v>
      </c>
      <c r="Q433" s="9" t="n">
        <f aca="false">O433+P433</f>
        <v>-8.91545457721533</v>
      </c>
      <c r="R433" s="11" t="n">
        <f aca="false">EXP(Q433-MAX($Q$7:$Q$506))</f>
        <v>0.00407377982142276</v>
      </c>
      <c r="S433" s="11" t="n">
        <f aca="false">SUM($R$7:R433)/SUM($R$7:$R$506)</f>
        <v>0.998828237580067</v>
      </c>
    </row>
    <row r="434" customFormat="false" ht="15" hidden="false" customHeight="false" outlineLevel="0" collapsed="false">
      <c r="N434" s="12" t="n">
        <f aca="false">N433+0.01</f>
        <v>4.31999999999995</v>
      </c>
      <c r="O434" s="9" t="n">
        <f aca="false">SUMPRODUCT($F$7:$F$26,LN(1-EXP(-N434*$E$7:$E$26)+0.000000000001))-N434*SUMPRODUCT($G$7:$G$26,$E$7:$E$26)</f>
        <v>-2.55250874799659</v>
      </c>
      <c r="P434" s="9" t="n">
        <f aca="false">-0.5*((LN(N434)-LN($B$3))/$B$4)^2-LN(N434)</f>
        <v>-6.38436719812133</v>
      </c>
      <c r="Q434" s="9" t="n">
        <f aca="false">O434+P434</f>
        <v>-8.93687594611792</v>
      </c>
      <c r="R434" s="11" t="n">
        <f aca="false">EXP(Q434-MAX($Q$7:$Q$506))</f>
        <v>0.00398744192055301</v>
      </c>
      <c r="S434" s="11" t="n">
        <f aca="false">SUM($R$7:R434)/SUM($R$7:$R$506)</f>
        <v>0.998859483130139</v>
      </c>
    </row>
    <row r="435" customFormat="false" ht="15" hidden="false" customHeight="false" outlineLevel="0" collapsed="false">
      <c r="N435" s="12" t="n">
        <f aca="false">N434+0.01</f>
        <v>4.32999999999995</v>
      </c>
      <c r="O435" s="9" t="n">
        <f aca="false">SUMPRODUCT($F$7:$F$26,LN(1-EXP(-N435*$E$7:$E$26)+0.000000000001))-N435*SUMPRODUCT($G$7:$G$26,$E$7:$E$26)</f>
        <v>-2.55709145291885</v>
      </c>
      <c r="P435" s="9" t="n">
        <f aca="false">-0.5*((LN(N435)-LN($B$3))/$B$4)^2-LN(N435)</f>
        <v>-6.40119746677798</v>
      </c>
      <c r="Q435" s="9" t="n">
        <f aca="false">O435+P435</f>
        <v>-8.95828891969683</v>
      </c>
      <c r="R435" s="11" t="n">
        <f aca="false">EXP(Q435-MAX($Q$7:$Q$506))</f>
        <v>0.00390296659377637</v>
      </c>
      <c r="S435" s="11" t="n">
        <f aca="false">SUM($R$7:R435)/SUM($R$7:$R$506)</f>
        <v>0.9988900667325</v>
      </c>
    </row>
    <row r="436" customFormat="false" ht="15" hidden="false" customHeight="false" outlineLevel="0" collapsed="false">
      <c r="N436" s="12" t="n">
        <f aca="false">N435+0.01</f>
        <v>4.33999999999995</v>
      </c>
      <c r="O436" s="9" t="n">
        <f aca="false">SUMPRODUCT($F$7:$F$26,LN(1-EXP(-N436*$E$7:$E$26)+0.000000000001))-N436*SUMPRODUCT($G$7:$G$26,$E$7:$E$26)</f>
        <v>-2.56168322189922</v>
      </c>
      <c r="P436" s="9" t="n">
        <f aca="false">-0.5*((LN(N436)-LN($B$3))/$B$4)^2-LN(N436)</f>
        <v>-6.41801022127593</v>
      </c>
      <c r="Q436" s="9" t="n">
        <f aca="false">O436+P436</f>
        <v>-8.97969344317516</v>
      </c>
      <c r="R436" s="11" t="n">
        <f aca="false">EXP(Q436-MAX($Q$7:$Q$506))</f>
        <v>0.00382031318770916</v>
      </c>
      <c r="S436" s="11" t="n">
        <f aca="false">SUM($R$7:R436)/SUM($R$7:$R$506)</f>
        <v>0.9989200026637</v>
      </c>
    </row>
    <row r="437" customFormat="false" ht="15" hidden="false" customHeight="false" outlineLevel="0" collapsed="false">
      <c r="N437" s="12" t="n">
        <f aca="false">N436+0.01</f>
        <v>4.34999999999995</v>
      </c>
      <c r="O437" s="9" t="n">
        <f aca="false">SUMPRODUCT($F$7:$F$26,LN(1-EXP(-N437*$E$7:$E$26)+0.000000000001))-N437*SUMPRODUCT($G$7:$G$26,$E$7:$E$26)</f>
        <v>-2.56628396943168</v>
      </c>
      <c r="P437" s="9" t="n">
        <f aca="false">-0.5*((LN(N437)-LN($B$3))/$B$4)^2-LN(N437)</f>
        <v>-6.43480549324428</v>
      </c>
      <c r="Q437" s="9" t="n">
        <f aca="false">O437+P437</f>
        <v>-9.00108946267596</v>
      </c>
      <c r="R437" s="11" t="n">
        <f aca="false">EXP(Q437-MAX($Q$7:$Q$506))</f>
        <v>0.00373944193879998</v>
      </c>
      <c r="S437" s="11" t="n">
        <f aca="false">SUM($R$7:R437)/SUM($R$7:$R$506)</f>
        <v>0.998949304888702</v>
      </c>
    </row>
    <row r="438" customFormat="false" ht="15" hidden="false" customHeight="false" outlineLevel="0" collapsed="false">
      <c r="N438" s="12" t="n">
        <f aca="false">N437+0.01</f>
        <v>4.35999999999995</v>
      </c>
      <c r="O438" s="9" t="n">
        <f aca="false">SUMPRODUCT($F$7:$F$26,LN(1-EXP(-N438*$E$7:$E$26)+0.000000000001))-N438*SUMPRODUCT($G$7:$G$26,$E$7:$E$26)</f>
        <v>-2.57089361089158</v>
      </c>
      <c r="P438" s="9" t="n">
        <f aca="false">-0.5*((LN(N438)-LN($B$3))/$B$4)^2-LN(N438)</f>
        <v>-6.45158331431892</v>
      </c>
      <c r="Q438" s="9" t="n">
        <f aca="false">O438+P438</f>
        <v>-9.0224769252105</v>
      </c>
      <c r="R438" s="11" t="n">
        <f aca="false">EXP(Q438-MAX($Q$7:$Q$506))</f>
        <v>0.00366031395406562</v>
      </c>
      <c r="S438" s="11" t="n">
        <f aca="false">SUM($R$7:R438)/SUM($R$7:$R$506)</f>
        <v>0.998977987067705</v>
      </c>
    </row>
    <row r="439" customFormat="false" ht="15" hidden="false" customHeight="false" outlineLevel="0" collapsed="false">
      <c r="N439" s="12" t="n">
        <f aca="false">N438+0.01</f>
        <v>4.36999999999995</v>
      </c>
      <c r="O439" s="9" t="n">
        <f aca="false">SUMPRODUCT($F$7:$F$26,LN(1-EXP(-N439*$E$7:$E$26)+0.000000000001))-N439*SUMPRODUCT($G$7:$G$26,$E$7:$E$26)</f>
        <v>-2.57551206252557</v>
      </c>
      <c r="P439" s="9" t="n">
        <f aca="false">-0.5*((LN(N439)-LN($B$3))/$B$4)^2-LN(N439)</f>
        <v>-6.46834371614101</v>
      </c>
      <c r="Q439" s="9" t="n">
        <f aca="false">O439+P439</f>
        <v>-9.04385577866657</v>
      </c>
      <c r="R439" s="11" t="n">
        <f aca="false">EXP(Q439-MAX($Q$7:$Q$506))</f>
        <v>0.00358289119222981</v>
      </c>
      <c r="S439" s="11" t="n">
        <f aca="false">SUM($R$7:R439)/SUM($R$7:$R$506)</f>
        <v>0.999006062562817</v>
      </c>
    </row>
    <row r="440" customFormat="false" ht="15" hidden="false" customHeight="false" outlineLevel="0" collapsed="false">
      <c r="N440" s="12" t="n">
        <f aca="false">N439+0.01</f>
        <v>4.37999999999995</v>
      </c>
      <c r="O440" s="9" t="n">
        <f aca="false">SUMPRODUCT($F$7:$F$26,LN(1-EXP(-N440*$E$7:$E$26)+0.000000000001))-N440*SUMPRODUCT($G$7:$G$26,$E$7:$E$26)</f>
        <v>-2.58013924144173</v>
      </c>
      <c r="P440" s="9" t="n">
        <f aca="false">-0.5*((LN(N440)-LN($B$3))/$B$4)^2-LN(N440)</f>
        <v>-6.48508673035534</v>
      </c>
      <c r="Q440" s="9" t="n">
        <f aca="false">O440+P440</f>
        <v>-9.06522597179707</v>
      </c>
      <c r="R440" s="11" t="n">
        <f aca="false">EXP(Q440-MAX($Q$7:$Q$506))</f>
        <v>0.00350713644525674</v>
      </c>
      <c r="S440" s="11" t="n">
        <f aca="false">SUM($R$7:R440)/SUM($R$7:$R$506)</f>
        <v>0.999033544444583</v>
      </c>
    </row>
    <row r="441" customFormat="false" ht="15" hidden="false" customHeight="false" outlineLevel="0" collapsed="false">
      <c r="N441" s="12" t="n">
        <f aca="false">N440+0.01</f>
        <v>4.38999999999995</v>
      </c>
      <c r="O441" s="9" t="n">
        <f aca="false">SUMPRODUCT($F$7:$F$26,LN(1-EXP(-N441*$E$7:$E$26)+0.000000000001))-N441*SUMPRODUCT($G$7:$G$26,$E$7:$E$26)</f>
        <v>-2.58477506559978</v>
      </c>
      <c r="P441" s="9" t="n">
        <f aca="false">-0.5*((LN(N441)-LN($B$3))/$B$4)^2-LN(N441)</f>
        <v>-6.50181238860883</v>
      </c>
      <c r="Q441" s="9" t="n">
        <f aca="false">O441+P441</f>
        <v>-9.08658745420861</v>
      </c>
      <c r="R441" s="11" t="n">
        <f aca="false">EXP(Q441-MAX($Q$7:$Q$506))</f>
        <v>0.0034330133202721</v>
      </c>
      <c r="S441" s="11" t="n">
        <f aca="false">SUM($R$7:R441)/SUM($R$7:$R$506)</f>
        <v>0.999060445498375</v>
      </c>
    </row>
    <row r="442" customFormat="false" ht="15" hidden="false" customHeight="false" outlineLevel="0" collapsed="false">
      <c r="N442" s="12" t="n">
        <f aca="false">N441+0.01</f>
        <v>4.39999999999995</v>
      </c>
      <c r="O442" s="9" t="n">
        <f aca="false">SUMPRODUCT($F$7:$F$26,LN(1-EXP(-N442*$E$7:$E$26)+0.000000000001))-N442*SUMPRODUCT($G$7:$G$26,$E$7:$E$26)</f>
        <v>-2.5894194538014</v>
      </c>
      <c r="P442" s="9" t="n">
        <f aca="false">-0.5*((LN(N442)-LN($B$3))/$B$4)^2-LN(N442)</f>
        <v>-6.51852072254902</v>
      </c>
      <c r="Q442" s="9" t="n">
        <f aca="false">O442+P442</f>
        <v>-9.10794017635042</v>
      </c>
      <c r="R442" s="11" t="n">
        <f aca="false">EXP(Q442-MAX($Q$7:$Q$506))</f>
        <v>0.0033604862218638</v>
      </c>
      <c r="S442" s="11" t="n">
        <f aca="false">SUM($R$7:R442)/SUM($R$7:$R$506)</f>
        <v>0.999086778230639</v>
      </c>
    </row>
    <row r="443" customFormat="false" ht="15" hidden="false" customHeight="false" outlineLevel="0" collapsed="false">
      <c r="N443" s="12" t="n">
        <f aca="false">N442+0.01</f>
        <v>4.40999999999995</v>
      </c>
      <c r="O443" s="9" t="n">
        <f aca="false">SUMPRODUCT($F$7:$F$26,LN(1-EXP(-N443*$E$7:$E$26)+0.000000000001))-N443*SUMPRODUCT($G$7:$G$26,$E$7:$E$26)</f>
        <v>-2.59407232568072</v>
      </c>
      <c r="P443" s="9" t="n">
        <f aca="false">-0.5*((LN(N443)-LN($B$3))/$B$4)^2-LN(N443)</f>
        <v>-6.53521176382255</v>
      </c>
      <c r="Q443" s="9" t="n">
        <f aca="false">O443+P443</f>
        <v>-9.12928408950328</v>
      </c>
      <c r="R443" s="11" t="n">
        <f aca="false">EXP(Q443-MAX($Q$7:$Q$506))</f>
        <v>0.0032895203347553</v>
      </c>
      <c r="S443" s="11" t="n">
        <f aca="false">SUM($R$7:R443)/SUM($R$7:$R$506)</f>
        <v>0.999112554875009</v>
      </c>
    </row>
    <row r="444" customFormat="false" ht="15" hidden="false" customHeight="false" outlineLevel="0" collapsed="false">
      <c r="N444" s="12" t="n">
        <f aca="false">N443+0.01</f>
        <v>4.41999999999995</v>
      </c>
      <c r="O444" s="9" t="n">
        <f aca="false">SUMPRODUCT($F$7:$F$26,LN(1-EXP(-N444*$E$7:$E$26)+0.000000000001))-N444*SUMPRODUCT($G$7:$G$26,$E$7:$E$26)</f>
        <v>-2.59873360169491</v>
      </c>
      <c r="P444" s="9" t="n">
        <f aca="false">-0.5*((LN(N444)-LN($B$3))/$B$4)^2-LN(N444)</f>
        <v>-6.55188554407377</v>
      </c>
      <c r="Q444" s="9" t="n">
        <f aca="false">O444+P444</f>
        <v>-9.15061914576868</v>
      </c>
      <c r="R444" s="11" t="n">
        <f aca="false">EXP(Q444-MAX($Q$7:$Q$506))</f>
        <v>0.00322008160684408</v>
      </c>
      <c r="S444" s="11" t="n">
        <f aca="false">SUM($R$7:R444)/SUM($R$7:$R$506)</f>
        <v>0.999137787398287</v>
      </c>
    </row>
    <row r="445" customFormat="false" ht="15" hidden="false" customHeight="false" outlineLevel="0" collapsed="false">
      <c r="N445" s="12" t="n">
        <f aca="false">N444+0.01</f>
        <v>4.42999999999995</v>
      </c>
      <c r="O445" s="9" t="n">
        <f aca="false">SUMPRODUCT($F$7:$F$26,LN(1-EXP(-N445*$E$7:$E$26)+0.000000000001))-N445*SUMPRODUCT($G$7:$G$26,$E$7:$E$26)</f>
        <v>-2.60340320311484</v>
      </c>
      <c r="P445" s="9" t="n">
        <f aca="false">-0.5*((LN(N445)-LN($B$3))/$B$4)^2-LN(N445)</f>
        <v>-6.56854209494327</v>
      </c>
      <c r="Q445" s="9" t="n">
        <f aca="false">O445+P445</f>
        <v>-9.17194529805811</v>
      </c>
      <c r="R445" s="11" t="n">
        <f aca="false">EXP(Q445-MAX($Q$7:$Q$506))</f>
        <v>0.0031521367325981</v>
      </c>
      <c r="S445" s="11" t="n">
        <f aca="false">SUM($R$7:R445)/SUM($R$7:$R$506)</f>
        <v>0.999162487506295</v>
      </c>
    </row>
    <row r="446" customFormat="false" ht="15" hidden="false" customHeight="false" outlineLevel="0" collapsed="false">
      <c r="N446" s="12" t="n">
        <f aca="false">N445+0.01</f>
        <v>4.43999999999995</v>
      </c>
      <c r="O446" s="9" t="n">
        <f aca="false">SUMPRODUCT($F$7:$F$26,LN(1-EXP(-N446*$E$7:$E$26)+0.000000000001))-N446*SUMPRODUCT($G$7:$G$26,$E$7:$E$26)</f>
        <v>-2.60808105201594</v>
      </c>
      <c r="P446" s="9" t="n">
        <f aca="false">-0.5*((LN(N446)-LN($B$3))/$B$4)^2-LN(N446)</f>
        <v>-6.58518144806651</v>
      </c>
      <c r="Q446" s="9" t="n">
        <f aca="false">O446+P446</f>
        <v>-9.19326250008245</v>
      </c>
      <c r="R446" s="11" t="n">
        <f aca="false">EXP(Q446-MAX($Q$7:$Q$506))</f>
        <v>0.00308565313680346</v>
      </c>
      <c r="S446" s="11" t="n">
        <f aca="false">SUM($R$7:R446)/SUM($R$7:$R$506)</f>
        <v>0.999186666649593</v>
      </c>
    </row>
    <row r="447" customFormat="false" ht="15" hidden="false" customHeight="false" outlineLevel="0" collapsed="false">
      <c r="N447" s="12" t="n">
        <f aca="false">N446+0.01</f>
        <v>4.44999999999995</v>
      </c>
      <c r="O447" s="9" t="n">
        <f aca="false">SUMPRODUCT($F$7:$F$26,LN(1-EXP(-N447*$E$7:$E$26)+0.000000000001))-N447*SUMPRODUCT($G$7:$G$26,$E$7:$E$26)</f>
        <v>-2.61276707126914</v>
      </c>
      <c r="P447" s="9" t="n">
        <f aca="false">-0.5*((LN(N447)-LN($B$3))/$B$4)^2-LN(N447)</f>
        <v>-6.60180363507247</v>
      </c>
      <c r="Q447" s="9" t="n">
        <f aca="false">O447+P447</f>
        <v>-9.21457070634161</v>
      </c>
      <c r="R447" s="11" t="n">
        <f aca="false">EXP(Q447-MAX($Q$7:$Q$506))</f>
        <v>0.00302059895865599</v>
      </c>
      <c r="S447" s="11" t="n">
        <f aca="false">SUM($R$7:R447)/SUM($R$7:$R$506)</f>
        <v>0.999210336029083</v>
      </c>
    </row>
    <row r="448" customFormat="false" ht="15" hidden="false" customHeight="false" outlineLevel="0" collapsed="false">
      <c r="N448" s="12" t="n">
        <f aca="false">N447+0.01</f>
        <v>4.45999999999995</v>
      </c>
      <c r="O448" s="9" t="n">
        <f aca="false">SUMPRODUCT($F$7:$F$26,LN(1-EXP(-N448*$E$7:$E$26)+0.000000000001))-N448*SUMPRODUCT($G$7:$G$26,$E$7:$E$26)</f>
        <v>-2.61746118453188</v>
      </c>
      <c r="P448" s="9" t="n">
        <f aca="false">-0.5*((LN(N448)-LN($B$3))/$B$4)^2-LN(N448)</f>
        <v>-6.61840868758228</v>
      </c>
      <c r="Q448" s="9" t="n">
        <f aca="false">O448+P448</f>
        <v>-9.23586987211416</v>
      </c>
      <c r="R448" s="11" t="n">
        <f aca="false">EXP(Q448-MAX($Q$7:$Q$506))</f>
        <v>0.00295694303619025</v>
      </c>
      <c r="S448" s="11" t="n">
        <f aca="false">SUM($R$7:R448)/SUM($R$7:$R$506)</f>
        <v>0.999233506601479</v>
      </c>
    </row>
    <row r="449" customFormat="false" ht="15" hidden="false" customHeight="false" outlineLevel="0" collapsed="false">
      <c r="N449" s="12" t="n">
        <f aca="false">N448+0.01</f>
        <v>4.46999999999995</v>
      </c>
      <c r="O449" s="9" t="n">
        <f aca="false">SUMPRODUCT($F$7:$F$26,LN(1-EXP(-N449*$E$7:$E$26)+0.000000000001))-N449*SUMPRODUCT($G$7:$G$26,$E$7:$E$26)</f>
        <v>-2.6221633162393</v>
      </c>
      <c r="P449" s="9" t="n">
        <f aca="false">-0.5*((LN(N449)-LN($B$3))/$B$4)^2-LN(N449)</f>
        <v>-6.63499663720797</v>
      </c>
      <c r="Q449" s="9" t="n">
        <f aca="false">O449+P449</f>
        <v>-9.25715995344727</v>
      </c>
      <c r="R449" s="11" t="n">
        <f aca="false">EXP(Q449-MAX($Q$7:$Q$506))</f>
        <v>0.00289465489103912</v>
      </c>
      <c r="S449" s="11" t="n">
        <f aca="false">SUM($R$7:R449)/SUM($R$7:$R$506)</f>
        <v>0.999256189084671</v>
      </c>
    </row>
    <row r="450" customFormat="false" ht="15" hidden="false" customHeight="false" outlineLevel="0" collapsed="false">
      <c r="N450" s="12" t="n">
        <f aca="false">N449+0.01</f>
        <v>4.47999999999995</v>
      </c>
      <c r="O450" s="9" t="n">
        <f aca="false">SUMPRODUCT($F$7:$F$26,LN(1-EXP(-N450*$E$7:$E$26)+0.000000000001))-N450*SUMPRODUCT($G$7:$G$26,$E$7:$E$26)</f>
        <v>-2.6268733915955</v>
      </c>
      <c r="P450" s="9" t="n">
        <f aca="false">-0.5*((LN(N450)-LN($B$3))/$B$4)^2-LN(N450)</f>
        <v>-6.65156751555112</v>
      </c>
      <c r="Q450" s="9" t="n">
        <f aca="false">O450+P450</f>
        <v>-9.27844090714662</v>
      </c>
      <c r="R450" s="11" t="n">
        <f aca="false">EXP(Q450-MAX($Q$7:$Q$506))</f>
        <v>0.00283370471351743</v>
      </c>
      <c r="S450" s="11" t="n">
        <f aca="false">SUM($R$7:R450)/SUM($R$7:$R$506)</f>
        <v>0.999278393962956</v>
      </c>
    </row>
    <row r="451" customFormat="false" ht="15" hidden="false" customHeight="false" outlineLevel="0" collapsed="false">
      <c r="N451" s="12" t="n">
        <f aca="false">N450+0.01</f>
        <v>4.48999999999995</v>
      </c>
      <c r="O451" s="9" t="n">
        <f aca="false">SUMPRODUCT($F$7:$F$26,LN(1-EXP(-N451*$E$7:$E$26)+0.000000000001))-N451*SUMPRODUCT($G$7:$G$26,$E$7:$E$26)</f>
        <v>-2.6315913365649</v>
      </c>
      <c r="P451" s="9" t="n">
        <f aca="false">-0.5*((LN(N451)-LN($B$3))/$B$4)^2-LN(N451)</f>
        <v>-6.66812135420167</v>
      </c>
      <c r="Q451" s="9" t="n">
        <f aca="false">O451+P451</f>
        <v>-9.29971269076658</v>
      </c>
      <c r="R451" s="11" t="n">
        <f aca="false">EXP(Q451-MAX($Q$7:$Q$506))</f>
        <v>0.00277406334802318</v>
      </c>
      <c r="S451" s="11" t="n">
        <f aca="false">SUM($R$7:R451)/SUM($R$7:$R$506)</f>
        <v>0.999300131492171</v>
      </c>
    </row>
    <row r="452" customFormat="false" ht="15" hidden="false" customHeight="false" outlineLevel="0" collapsed="false">
      <c r="N452" s="12" t="n">
        <f aca="false">N451+0.01</f>
        <v>4.49999999999995</v>
      </c>
      <c r="O452" s="9" t="n">
        <f aca="false">SUMPRODUCT($F$7:$F$26,LN(1-EXP(-N452*$E$7:$E$26)+0.000000000001))-N452*SUMPRODUCT($G$7:$G$26,$E$7:$E$26)</f>
        <v>-2.63631707786378</v>
      </c>
      <c r="P452" s="9" t="n">
        <f aca="false">-0.5*((LN(N452)-LN($B$3))/$B$4)^2-LN(N452)</f>
        <v>-6.68465818473666</v>
      </c>
      <c r="Q452" s="9" t="n">
        <f aca="false">O452+P452</f>
        <v>-9.32097526260044</v>
      </c>
      <c r="R452" s="11" t="n">
        <f aca="false">EXP(Q452-MAX($Q$7:$Q$506))</f>
        <v>0.00271570227874995</v>
      </c>
      <c r="S452" s="11" t="n">
        <f aca="false">SUM($R$7:R452)/SUM($R$7:$R$506)</f>
        <v>0.999321411704704</v>
      </c>
    </row>
    <row r="453" customFormat="false" ht="15" hidden="false" customHeight="false" outlineLevel="0" collapsed="false">
      <c r="N453" s="12" t="n">
        <f aca="false">N452+0.01</f>
        <v>4.50999999999995</v>
      </c>
      <c r="O453" s="9" t="n">
        <f aca="false">SUMPRODUCT($F$7:$F$26,LN(1-EXP(-N453*$E$7:$E$26)+0.000000000001))-N453*SUMPRODUCT($G$7:$G$26,$E$7:$E$26)</f>
        <v>-2.64105054295181</v>
      </c>
      <c r="P453" s="9" t="n">
        <f aca="false">-0.5*((LN(N453)-LN($B$3))/$B$4)^2-LN(N453)</f>
        <v>-6.70117803871901</v>
      </c>
      <c r="Q453" s="9" t="n">
        <f aca="false">O453+P453</f>
        <v>-9.34222858167082</v>
      </c>
      <c r="R453" s="11" t="n">
        <f aca="false">EXP(Q453-MAX($Q$7:$Q$506))</f>
        <v>0.00265859361570428</v>
      </c>
      <c r="S453" s="11" t="n">
        <f aca="false">SUM($R$7:R453)/SUM($R$7:$R$506)</f>
        <v>0.999342244414395</v>
      </c>
    </row>
    <row r="454" customFormat="false" ht="15" hidden="false" customHeight="false" outlineLevel="0" collapsed="false">
      <c r="N454" s="12" t="n">
        <f aca="false">N453+0.01</f>
        <v>4.51999999999995</v>
      </c>
      <c r="O454" s="9" t="n">
        <f aca="false">SUMPRODUCT($F$7:$F$26,LN(1-EXP(-N454*$E$7:$E$26)+0.000000000001))-N454*SUMPRODUCT($G$7:$G$26,$E$7:$E$26)</f>
        <v>-2.64579166002377</v>
      </c>
      <c r="P454" s="9" t="n">
        <f aca="false">-0.5*((LN(N454)-LN($B$3))/$B$4)^2-LN(N454)</f>
        <v>-6.7176809476964</v>
      </c>
      <c r="Q454" s="9" t="n">
        <f aca="false">O454+P454</f>
        <v>-9.36347260772017</v>
      </c>
      <c r="R454" s="11" t="n">
        <f aca="false">EXP(Q454-MAX($Q$7:$Q$506))</f>
        <v>0.00260271008102192</v>
      </c>
      <c r="S454" s="11" t="n">
        <f aca="false">SUM($R$7:R454)/SUM($R$7:$R$506)</f>
        <v>0.999362639221336</v>
      </c>
    </row>
    <row r="455" customFormat="false" ht="15" hidden="false" customHeight="false" outlineLevel="0" collapsed="false">
      <c r="N455" s="12" t="n">
        <f aca="false">N454+0.01</f>
        <v>4.52999999999995</v>
      </c>
      <c r="O455" s="9" t="n">
        <f aca="false">SUMPRODUCT($F$7:$F$26,LN(1-EXP(-N455*$E$7:$E$26)+0.000000000001))-N455*SUMPRODUCT($G$7:$G$26,$E$7:$E$26)</f>
        <v>-2.65054035800137</v>
      </c>
      <c r="P455" s="9" t="n">
        <f aca="false">-0.5*((LN(N455)-LN($B$3))/$B$4)^2-LN(N455)</f>
        <v>-6.73416694320006</v>
      </c>
      <c r="Q455" s="9" t="n">
        <f aca="false">O455+P455</f>
        <v>-9.38470730120143</v>
      </c>
      <c r="R455" s="11" t="n">
        <f aca="false">EXP(Q455-MAX($Q$7:$Q$506))</f>
        <v>0.00254802499557683</v>
      </c>
      <c r="S455" s="11" t="n">
        <f aca="false">SUM($R$7:R455)/SUM($R$7:$R$506)</f>
        <v>0.999382605516563</v>
      </c>
    </row>
    <row r="456" customFormat="false" ht="15" hidden="false" customHeight="false" outlineLevel="0" collapsed="false">
      <c r="N456" s="12" t="n">
        <f aca="false">N455+0.01</f>
        <v>4.53999999999995</v>
      </c>
      <c r="O456" s="9" t="n">
        <f aca="false">SUMPRODUCT($F$7:$F$26,LN(1-EXP(-N456*$E$7:$E$26)+0.000000000001))-N456*SUMPRODUCT($G$7:$G$26,$E$7:$E$26)</f>
        <v>-2.65529656652511</v>
      </c>
      <c r="P456" s="9" t="n">
        <f aca="false">-0.5*((LN(N456)-LN($B$3))/$B$4)^2-LN(N456)</f>
        <v>-6.75063605674367</v>
      </c>
      <c r="Q456" s="9" t="n">
        <f aca="false">O456+P456</f>
        <v>-9.40593262326878</v>
      </c>
      <c r="R456" s="11" t="n">
        <f aca="false">EXP(Q456-MAX($Q$7:$Q$506))</f>
        <v>0.00249451226587708</v>
      </c>
      <c r="S456" s="11" t="n">
        <f aca="false">SUM($R$7:R456)/SUM($R$7:$R$506)</f>
        <v>0.999402152486641</v>
      </c>
    </row>
    <row r="457" customFormat="false" ht="15" hidden="false" customHeight="false" outlineLevel="0" collapsed="false">
      <c r="N457" s="12" t="n">
        <f aca="false">N456+0.01</f>
        <v>4.54999999999995</v>
      </c>
      <c r="O457" s="9" t="n">
        <f aca="false">SUMPRODUCT($F$7:$F$26,LN(1-EXP(-N457*$E$7:$E$26)+0.000000000001))-N457*SUMPRODUCT($G$7:$G$26,$E$7:$E$26)</f>
        <v>-2.66006021594631</v>
      </c>
      <c r="P457" s="9" t="n">
        <f aca="false">-0.5*((LN(N457)-LN($B$3))/$B$4)^2-LN(N457)</f>
        <v>-6.76708831982225</v>
      </c>
      <c r="Q457" s="9" t="n">
        <f aca="false">O457+P457</f>
        <v>-9.42714853576856</v>
      </c>
      <c r="R457" s="11" t="n">
        <f aca="false">EXP(Q457-MAX($Q$7:$Q$506))</f>
        <v>0.00244214637124179</v>
      </c>
      <c r="S457" s="11" t="n">
        <f aca="false">SUM($R$7:R457)/SUM($R$7:$R$506)</f>
        <v>0.999421289118157</v>
      </c>
    </row>
    <row r="458" customFormat="false" ht="15" hidden="false" customHeight="false" outlineLevel="0" collapsed="false">
      <c r="N458" s="12" t="n">
        <f aca="false">N457+0.01</f>
        <v>4.55999999999995</v>
      </c>
      <c r="O458" s="9" t="n">
        <f aca="false">SUMPRODUCT($F$7:$F$26,LN(1-EXP(-N458*$E$7:$E$26)+0.000000000001))-N458*SUMPRODUCT($G$7:$G$26,$E$7:$E$26)</f>
        <v>-2.66483123731919</v>
      </c>
      <c r="P458" s="9" t="n">
        <f aca="false">-0.5*((LN(N458)-LN($B$3))/$B$4)^2-LN(N458)</f>
        <v>-6.78352376391108</v>
      </c>
      <c r="Q458" s="9" t="n">
        <f aca="false">O458+P458</f>
        <v>-9.44835500123026</v>
      </c>
      <c r="R458" s="11" t="n">
        <f aca="false">EXP(Q458-MAX($Q$7:$Q$506))</f>
        <v>0.00239090235125342</v>
      </c>
      <c r="S458" s="11" t="n">
        <f aca="false">SUM($R$7:R458)/SUM($R$7:$R$506)</f>
        <v>0.999440024202108</v>
      </c>
    </row>
    <row r="459" customFormat="false" ht="15" hidden="false" customHeight="false" outlineLevel="0" collapsed="false">
      <c r="N459" s="12" t="n">
        <f aca="false">N458+0.01</f>
        <v>4.56999999999995</v>
      </c>
      <c r="O459" s="9" t="n">
        <f aca="false">SUMPRODUCT($F$7:$F$26,LN(1-EXP(-N459*$E$7:$E$26)+0.000000000001))-N459*SUMPRODUCT($G$7:$G$26,$E$7:$E$26)</f>
        <v>-2.66960956239308</v>
      </c>
      <c r="P459" s="9" t="n">
        <f aca="false">-0.5*((LN(N459)-LN($B$3))/$B$4)^2-LN(N459)</f>
        <v>-6.79994242046463</v>
      </c>
      <c r="Q459" s="9" t="n">
        <f aca="false">O459+P459</f>
        <v>-9.46955198285771</v>
      </c>
      <c r="R459" s="11" t="n">
        <f aca="false">EXP(Q459-MAX($Q$7:$Q$506))</f>
        <v>0.0023407557934797</v>
      </c>
      <c r="S459" s="11" t="n">
        <f aca="false">SUM($R$7:R459)/SUM($R$7:$R$506)</f>
        <v>0.999458366338197</v>
      </c>
    </row>
    <row r="460" customFormat="false" ht="15" hidden="false" customHeight="false" outlineLevel="0" collapsed="false">
      <c r="N460" s="12" t="n">
        <f aca="false">N459+0.01</f>
        <v>4.57999999999995</v>
      </c>
      <c r="O460" s="9" t="n">
        <f aca="false">SUMPRODUCT($F$7:$F$26,LN(1-EXP(-N460*$E$7:$E$26)+0.000000000001))-N460*SUMPRODUCT($G$7:$G$26,$E$7:$E$26)</f>
        <v>-2.67439512360472</v>
      </c>
      <c r="P460" s="9" t="n">
        <f aca="false">-0.5*((LN(N460)-LN($B$3))/$B$4)^2-LN(N460)</f>
        <v>-6.81634432091554</v>
      </c>
      <c r="Q460" s="9" t="n">
        <f aca="false">O460+P460</f>
        <v>-9.49073944452026</v>
      </c>
      <c r="R460" s="11" t="n">
        <f aca="false">EXP(Q460-MAX($Q$7:$Q$506))</f>
        <v>0.00229168282145988</v>
      </c>
      <c r="S460" s="11" t="n">
        <f aca="false">SUM($R$7:R460)/SUM($R$7:$R$506)</f>
        <v>0.999476323939028</v>
      </c>
    </row>
    <row r="461" customFormat="false" ht="15" hidden="false" customHeight="false" outlineLevel="0" collapsed="false">
      <c r="N461" s="12" t="n">
        <f aca="false">N460+0.01</f>
        <v>4.58999999999995</v>
      </c>
      <c r="O461" s="9" t="n">
        <f aca="false">SUMPRODUCT($F$7:$F$26,LN(1-EXP(-N461*$E$7:$E$26)+0.000000000001))-N461*SUMPRODUCT($G$7:$G$26,$E$7:$E$26)</f>
        <v>-2.6791878540706</v>
      </c>
      <c r="P461" s="9" t="n">
        <f aca="false">-0.5*((LN(N461)-LN($B$3))/$B$4)^2-LN(N461)</f>
        <v>-6.8327294966736</v>
      </c>
      <c r="Q461" s="9" t="n">
        <f aca="false">O461+P461</f>
        <v>-9.51191735074419</v>
      </c>
      <c r="R461" s="11" t="n">
        <f aca="false">EXP(Q461-MAX($Q$7:$Q$506))</f>
        <v>0.00224366008294968</v>
      </c>
      <c r="S461" s="11" t="n">
        <f aca="false">SUM($R$7:R461)/SUM($R$7:$R$506)</f>
        <v>0.99949390523422</v>
      </c>
    </row>
    <row r="462" customFormat="false" ht="15" hidden="false" customHeight="false" outlineLevel="0" collapsed="false">
      <c r="N462" s="12" t="n">
        <f aca="false">N461+0.01</f>
        <v>4.59999999999995</v>
      </c>
      <c r="O462" s="9" t="n">
        <f aca="false">SUMPRODUCT($F$7:$F$26,LN(1-EXP(-N462*$E$7:$E$26)+0.000000000001))-N462*SUMPRODUCT($G$7:$G$26,$E$7:$E$26)</f>
        <v>-2.6839876875795</v>
      </c>
      <c r="P462" s="9" t="n">
        <f aca="false">-0.5*((LN(N462)-LN($B$3))/$B$4)^2-LN(N462)</f>
        <v>-6.84909797912474</v>
      </c>
      <c r="Q462" s="9" t="n">
        <f aca="false">O462+P462</f>
        <v>-9.53308566670423</v>
      </c>
      <c r="R462" s="11" t="n">
        <f aca="false">EXP(Q462-MAX($Q$7:$Q$506))</f>
        <v>0.0021966647384197</v>
      </c>
      <c r="S462" s="11" t="n">
        <f aca="false">SUM($R$7:R462)/SUM($R$7:$R$506)</f>
        <v>0.99951111827442</v>
      </c>
    </row>
    <row r="463" customFormat="false" ht="15" hidden="false" customHeight="false" outlineLevel="0" collapsed="false">
      <c r="N463" s="12" t="n">
        <f aca="false">N462+0.01</f>
        <v>4.60999999999995</v>
      </c>
      <c r="O463" s="9" t="n">
        <f aca="false">SUMPRODUCT($F$7:$F$26,LN(1-EXP(-N463*$E$7:$E$26)+0.000000000001))-N463*SUMPRODUCT($G$7:$G$26,$E$7:$E$26)</f>
        <v>-2.68879455858502</v>
      </c>
      <c r="P463" s="9" t="n">
        <f aca="false">-0.5*((LN(N463)-LN($B$3))/$B$4)^2-LN(N463)</f>
        <v>-6.86544979963008</v>
      </c>
      <c r="Q463" s="9" t="n">
        <f aca="false">O463+P463</f>
        <v>-9.55424435821509</v>
      </c>
      <c r="R463" s="11" t="n">
        <f aca="false">EXP(Q463-MAX($Q$7:$Q$506))</f>
        <v>0.00215067444980213</v>
      </c>
      <c r="S463" s="11" t="n">
        <f aca="false">SUM($R$7:R463)/SUM($R$7:$R$506)</f>
        <v>0.999527970935236</v>
      </c>
    </row>
    <row r="464" customFormat="false" ht="15" hidden="false" customHeight="false" outlineLevel="0" collapsed="false">
      <c r="N464" s="12" t="n">
        <f aca="false">N463+0.01</f>
        <v>4.61999999999995</v>
      </c>
      <c r="O464" s="9" t="n">
        <f aca="false">SUMPRODUCT($F$7:$F$26,LN(1-EXP(-N464*$E$7:$E$26)+0.000000000001))-N464*SUMPRODUCT($G$7:$G$26,$E$7:$E$26)</f>
        <v>-2.69360840219826</v>
      </c>
      <c r="P464" s="9" t="n">
        <f aca="false">-0.5*((LN(N464)-LN($B$3))/$B$4)^2-LN(N464)</f>
        <v>-6.88178498952497</v>
      </c>
      <c r="Q464" s="9" t="n">
        <f aca="false">O464+P464</f>
        <v>-9.57539339172322</v>
      </c>
      <c r="R464" s="11" t="n">
        <f aca="false">EXP(Q464-MAX($Q$7:$Q$506))</f>
        <v>0.00210566736948056</v>
      </c>
      <c r="S464" s="11" t="n">
        <f aca="false">SUM($R$7:R464)/SUM($R$7:$R$506)</f>
        <v>0.999544470921076</v>
      </c>
    </row>
    <row r="465" customFormat="false" ht="15" hidden="false" customHeight="false" outlineLevel="0" collapsed="false">
      <c r="N465" s="12" t="n">
        <f aca="false">N464+0.01</f>
        <v>4.62999999999995</v>
      </c>
      <c r="O465" s="9" t="n">
        <f aca="false">SUMPRODUCT($F$7:$F$26,LN(1-EXP(-N465*$E$7:$E$26)+0.000000000001))-N465*SUMPRODUCT($G$7:$G$26,$E$7:$E$26)</f>
        <v>-2.69842915418057</v>
      </c>
      <c r="P465" s="9" t="n">
        <f aca="false">-0.5*((LN(N465)-LN($B$3))/$B$4)^2-LN(N465)</f>
        <v>-6.89810358011805</v>
      </c>
      <c r="Q465" s="9" t="n">
        <f aca="false">O465+P465</f>
        <v>-9.59653273429862</v>
      </c>
      <c r="R465" s="11" t="n">
        <f aca="false">EXP(Q465-MAX($Q$7:$Q$506))</f>
        <v>0.0020616221295179</v>
      </c>
      <c r="S465" s="11" t="n">
        <f aca="false">SUM($R$7:R465)/SUM($R$7:$R$506)</f>
        <v>0.999560625768912</v>
      </c>
    </row>
    <row r="466" customFormat="false" ht="15" hidden="false" customHeight="false" outlineLevel="0" collapsed="false">
      <c r="N466" s="12" t="n">
        <f aca="false">N465+0.01</f>
        <v>4.63999999999995</v>
      </c>
      <c r="O466" s="9" t="n">
        <f aca="false">SUMPRODUCT($F$7:$F$26,LN(1-EXP(-N466*$E$7:$E$26)+0.000000000001))-N466*SUMPRODUCT($G$7:$G$26,$E$7:$E$26)</f>
        <v>-2.7032567509364</v>
      </c>
      <c r="P466" s="9" t="n">
        <f aca="false">-0.5*((LN(N466)-LN($B$3))/$B$4)^2-LN(N466)</f>
        <v>-6.91440560269037</v>
      </c>
      <c r="Q466" s="9" t="n">
        <f aca="false">O466+P466</f>
        <v>-9.61766235362677</v>
      </c>
      <c r="R466" s="11" t="n">
        <f aca="false">EXP(Q466-MAX($Q$7:$Q$506))</f>
        <v>0.00201851783111743</v>
      </c>
      <c r="S466" s="11" t="n">
        <f aca="false">SUM($R$7:R466)/SUM($R$7:$R$506)</f>
        <v>0.999576442851949</v>
      </c>
    </row>
    <row r="467" customFormat="false" ht="15" hidden="false" customHeight="false" outlineLevel="0" collapsed="false">
      <c r="N467" s="12" t="n">
        <f aca="false">N466+0.01</f>
        <v>4.64999999999995</v>
      </c>
      <c r="O467" s="9" t="n">
        <f aca="false">SUMPRODUCT($F$7:$F$26,LN(1-EXP(-N467*$E$7:$E$26)+0.000000000001))-N467*SUMPRODUCT($G$7:$G$26,$E$7:$E$26)</f>
        <v>-2.70809112950619</v>
      </c>
      <c r="P467" s="9" t="n">
        <f aca="false">-0.5*((LN(N467)-LN($B$3))/$B$4)^2-LN(N467)</f>
        <v>-6.93069108849445</v>
      </c>
      <c r="Q467" s="9" t="n">
        <f aca="false">O467+P467</f>
        <v>-9.63878221800064</v>
      </c>
      <c r="R467" s="11" t="n">
        <f aca="false">EXP(Q467-MAX($Q$7:$Q$506))</f>
        <v>0.00197633403431218</v>
      </c>
      <c r="S467" s="11" t="n">
        <f aca="false">SUM($R$7:R467)/SUM($R$7:$R$506)</f>
        <v>0.999591929383228</v>
      </c>
    </row>
    <row r="468" customFormat="false" ht="15" hidden="false" customHeight="false" outlineLevel="0" collapsed="false">
      <c r="N468" s="12" t="n">
        <f aca="false">N467+0.01</f>
        <v>4.65999999999995</v>
      </c>
      <c r="O468" s="9" t="n">
        <f aca="false">SUMPRODUCT($F$7:$F$26,LN(1-EXP(-N468*$E$7:$E$26)+0.000000000001))-N468*SUMPRODUCT($G$7:$G$26,$E$7:$E$26)</f>
        <v>-2.71293222755944</v>
      </c>
      <c r="P468" s="9" t="n">
        <f aca="false">-0.5*((LN(N468)-LN($B$3))/$B$4)^2-LN(N468)</f>
        <v>-6.94696006875344</v>
      </c>
      <c r="Q468" s="9" t="n">
        <f aca="false">O468+P468</f>
        <v>-9.65989229631288</v>
      </c>
      <c r="R468" s="11" t="n">
        <f aca="false">EXP(Q468-MAX($Q$7:$Q$506))</f>
        <v>0.00193505074787797</v>
      </c>
      <c r="S468" s="11" t="n">
        <f aca="false">SUM($R$7:R468)/SUM($R$7:$R$506)</f>
        <v>0.999607092419139</v>
      </c>
    </row>
    <row r="469" customFormat="false" ht="15" hidden="false" customHeight="false" outlineLevel="0" collapsed="false">
      <c r="N469" s="12" t="n">
        <f aca="false">N468+0.01</f>
        <v>4.66999999999995</v>
      </c>
      <c r="O469" s="9" t="n">
        <f aca="false">SUMPRODUCT($F$7:$F$26,LN(1-EXP(-N469*$E$7:$E$26)+0.000000000001))-N469*SUMPRODUCT($G$7:$G$26,$E$7:$E$26)</f>
        <v>-2.71777998338777</v>
      </c>
      <c r="P469" s="9" t="n">
        <f aca="false">-0.5*((LN(N469)-LN($B$3))/$B$4)^2-LN(N469)</f>
        <v>-6.96321257466028</v>
      </c>
      <c r="Q469" s="9" t="n">
        <f aca="false">O469+P469</f>
        <v>-9.68099255804804</v>
      </c>
      <c r="R469" s="11" t="n">
        <f aca="false">EXP(Q469-MAX($Q$7:$Q$506))</f>
        <v>0.00189464841946515</v>
      </c>
      <c r="S469" s="11" t="n">
        <f aca="false">SUM($R$7:R469)/SUM($R$7:$R$506)</f>
        <v>0.999621938862859</v>
      </c>
    </row>
    <row r="470" customFormat="false" ht="15" hidden="false" customHeight="false" outlineLevel="0" collapsed="false">
      <c r="N470" s="12" t="n">
        <f aca="false">N469+0.01</f>
        <v>4.67999999999995</v>
      </c>
      <c r="O470" s="9" t="n">
        <f aca="false">SUMPRODUCT($F$7:$F$26,LN(1-EXP(-N470*$E$7:$E$26)+0.000000000001))-N470*SUMPRODUCT($G$7:$G$26,$E$7:$E$26)</f>
        <v>-2.7226343358981</v>
      </c>
      <c r="P470" s="9" t="n">
        <f aca="false">-0.5*((LN(N470)-LN($B$3))/$B$4)^2-LN(N470)</f>
        <v>-6.97944863737682</v>
      </c>
      <c r="Q470" s="9" t="n">
        <f aca="false">O470+P470</f>
        <v>-9.70208297327491</v>
      </c>
      <c r="R470" s="11" t="n">
        <f aca="false">EXP(Q470-MAX($Q$7:$Q$506))</f>
        <v>0.00185510792594494</v>
      </c>
      <c r="S470" s="11" t="n">
        <f aca="false">SUM($R$7:R470)/SUM($R$7:$R$506)</f>
        <v>0.999636475467716</v>
      </c>
    </row>
    <row r="471" customFormat="false" ht="15" hidden="false" customHeight="false" outlineLevel="0" collapsed="false">
      <c r="N471" s="12" t="n">
        <f aca="false">N470+0.01</f>
        <v>4.68999999999994</v>
      </c>
      <c r="O471" s="9" t="n">
        <f aca="false">SUMPRODUCT($F$7:$F$26,LN(1-EXP(-N471*$E$7:$E$26)+0.000000000001))-N471*SUMPRODUCT($G$7:$G$26,$E$7:$E$26)</f>
        <v>-2.72749522460594</v>
      </c>
      <c r="P471" s="9" t="n">
        <f aca="false">-0.5*((LN(N471)-LN($B$3))/$B$4)^2-LN(N471)</f>
        <v>-6.99566828803304</v>
      </c>
      <c r="Q471" s="9" t="n">
        <f aca="false">O471+P471</f>
        <v>-9.72316351263897</v>
      </c>
      <c r="R471" s="11" t="n">
        <f aca="false">EXP(Q471-MAX($Q$7:$Q$506))</f>
        <v>0.00181641056396539</v>
      </c>
      <c r="S471" s="11" t="n">
        <f aca="false">SUM($R$7:R471)/SUM($R$7:$R$506)</f>
        <v>0.999650708840479</v>
      </c>
    </row>
    <row r="472" customFormat="false" ht="15" hidden="false" customHeight="false" outlineLevel="0" collapsed="false">
      <c r="N472" s="12" t="n">
        <f aca="false">N471+0.01</f>
        <v>4.69999999999994</v>
      </c>
      <c r="O472" s="9" t="n">
        <f aca="false">SUMPRODUCT($F$7:$F$26,LN(1-EXP(-N472*$E$7:$E$26)+0.000000000001))-N472*SUMPRODUCT($G$7:$G$26,$E$7:$E$26)</f>
        <v>-2.73236258962872</v>
      </c>
      <c r="P472" s="9" t="n">
        <f aca="false">-0.5*((LN(N472)-LN($B$3))/$B$4)^2-LN(N472)</f>
        <v>-7.01187155772624</v>
      </c>
      <c r="Q472" s="9" t="n">
        <f aca="false">O472+P472</f>
        <v>-9.74423414735496</v>
      </c>
      <c r="R472" s="11" t="n">
        <f aca="false">EXP(Q472-MAX($Q$7:$Q$506))</f>
        <v>0.00177853804071294</v>
      </c>
      <c r="S472" s="11" t="n">
        <f aca="false">SUM($R$7:R472)/SUM($R$7:$R$506)</f>
        <v>0.999664645444576</v>
      </c>
    </row>
    <row r="473" customFormat="false" ht="15" hidden="false" customHeight="false" outlineLevel="0" collapsed="false">
      <c r="N473" s="12" t="n">
        <f aca="false">N472+0.01</f>
        <v>4.70999999999994</v>
      </c>
      <c r="O473" s="9" t="n">
        <f aca="false">SUMPRODUCT($F$7:$F$26,LN(1-EXP(-N473*$E$7:$E$26)+0.000000000001))-N473*SUMPRODUCT($G$7:$G$26,$E$7:$E$26)</f>
        <v>-2.73723637167923</v>
      </c>
      <c r="P473" s="9" t="n">
        <f aca="false">-0.5*((LN(N473)-LN($B$3))/$B$4)^2-LN(N473)</f>
        <v>-7.02805847752027</v>
      </c>
      <c r="Q473" s="9" t="n">
        <f aca="false">O473+P473</f>
        <v>-9.7652948491995</v>
      </c>
      <c r="R473" s="11" t="n">
        <f aca="false">EXP(Q473-MAX($Q$7:$Q$506))</f>
        <v>0.001741472464875</v>
      </c>
      <c r="S473" s="11" t="n">
        <f aca="false">SUM($R$7:R473)/SUM($R$7:$R$506)</f>
        <v>0.999678291603237</v>
      </c>
    </row>
    <row r="474" customFormat="false" ht="15" hidden="false" customHeight="false" outlineLevel="0" collapsed="false">
      <c r="N474" s="12" t="n">
        <f aca="false">N473+0.01</f>
        <v>4.71999999999994</v>
      </c>
      <c r="O474" s="9" t="n">
        <f aca="false">SUMPRODUCT($F$7:$F$26,LN(1-EXP(-N474*$E$7:$E$26)+0.000000000001))-N474*SUMPRODUCT($G$7:$G$26,$E$7:$E$26)</f>
        <v>-2.7421165120591</v>
      </c>
      <c r="P474" s="9" t="n">
        <f aca="false">-0.5*((LN(N474)-LN($B$3))/$B$4)^2-LN(N474)</f>
        <v>-7.04422907844475</v>
      </c>
      <c r="Q474" s="9" t="n">
        <f aca="false">O474+P474</f>
        <v>-9.78634559050385</v>
      </c>
      <c r="R474" s="11" t="n">
        <f aca="false">EXP(Q474-MAX($Q$7:$Q$506))</f>
        <v>0.00170519633779957</v>
      </c>
      <c r="S474" s="11" t="n">
        <f aca="false">SUM($R$7:R474)/SUM($R$7:$R$506)</f>
        <v>0.999691653502574</v>
      </c>
    </row>
    <row r="475" customFormat="false" ht="15" hidden="false" customHeight="false" outlineLevel="0" collapsed="false">
      <c r="N475" s="12" t="n">
        <f aca="false">N474+0.01</f>
        <v>4.72999999999994</v>
      </c>
      <c r="O475" s="9" t="n">
        <f aca="false">SUMPRODUCT($F$7:$F$26,LN(1-EXP(-N475*$E$7:$E$26)+0.000000000001))-N475*SUMPRODUCT($G$7:$G$26,$E$7:$E$26)</f>
        <v>-2.74700295265241</v>
      </c>
      <c r="P475" s="9" t="n">
        <f aca="false">-0.5*((LN(N475)-LN($B$3))/$B$4)^2-LN(N475)</f>
        <v>-7.06038339149431</v>
      </c>
      <c r="Q475" s="9" t="n">
        <f aca="false">O475+P475</f>
        <v>-9.80738634414673</v>
      </c>
      <c r="R475" s="11" t="n">
        <f aca="false">EXP(Q475-MAX($Q$7:$Q$506))</f>
        <v>0.00166969254484747</v>
      </c>
      <c r="S475" s="11" t="n">
        <f aca="false">SUM($R$7:R475)/SUM($R$7:$R$506)</f>
        <v>0.999704737194589</v>
      </c>
    </row>
    <row r="476" customFormat="false" ht="15" hidden="false" customHeight="false" outlineLevel="0" collapsed="false">
      <c r="N476" s="12" t="n">
        <f aca="false">N475+0.01</f>
        <v>4.73999999999994</v>
      </c>
      <c r="O476" s="9" t="n">
        <f aca="false">SUMPRODUCT($F$7:$F$26,LN(1-EXP(-N476*$E$7:$E$26)+0.000000000001))-N476*SUMPRODUCT($G$7:$G$26,$E$7:$E$26)</f>
        <v>-2.75189563591935</v>
      </c>
      <c r="P476" s="9" t="n">
        <f aca="false">-0.5*((LN(N476)-LN($B$3))/$B$4)^2-LN(N476)</f>
        <v>-7.07652144762792</v>
      </c>
      <c r="Q476" s="9" t="n">
        <f aca="false">O476+P476</f>
        <v>-9.82841708354726</v>
      </c>
      <c r="R476" s="11" t="n">
        <f aca="false">EXP(Q476-MAX($Q$7:$Q$506))</f>
        <v>0.0016349443469333</v>
      </c>
      <c r="S476" s="11" t="n">
        <f aca="false">SUM($R$7:R476)/SUM($R$7:$R$506)</f>
        <v>0.999717548600115</v>
      </c>
    </row>
    <row r="477" customFormat="false" ht="15" hidden="false" customHeight="false" outlineLevel="0" collapsed="false">
      <c r="N477" s="12" t="n">
        <f aca="false">N476+0.01</f>
        <v>4.74999999999994</v>
      </c>
      <c r="O477" s="9" t="n">
        <f aca="false">SUMPRODUCT($F$7:$F$26,LN(1-EXP(-N477*$E$7:$E$26)+0.000000000001))-N477*SUMPRODUCT($G$7:$G$26,$E$7:$E$26)</f>
        <v>-2.75679450488993</v>
      </c>
      <c r="P477" s="9" t="n">
        <f aca="false">-0.5*((LN(N477)-LN($B$3))/$B$4)^2-LN(N477)</f>
        <v>-7.09264327776809</v>
      </c>
      <c r="Q477" s="9" t="n">
        <f aca="false">O477+P477</f>
        <v>-9.84943778265802</v>
      </c>
      <c r="R477" s="11" t="n">
        <f aca="false">EXP(Q477-MAX($Q$7:$Q$506))</f>
        <v>0.00160093537225117</v>
      </c>
      <c r="S477" s="11" t="n">
        <f aca="false">SUM($R$7:R477)/SUM($R$7:$R$506)</f>
        <v>0.999730093511698</v>
      </c>
    </row>
    <row r="478" customFormat="false" ht="15" hidden="false" customHeight="false" outlineLevel="0" collapsed="false">
      <c r="N478" s="12" t="n">
        <f aca="false">N477+0.01</f>
        <v>4.75999999999994</v>
      </c>
      <c r="O478" s="9" t="n">
        <f aca="false">SUMPRODUCT($F$7:$F$26,LN(1-EXP(-N478*$E$7:$E$26)+0.000000000001))-N478*SUMPRODUCT($G$7:$G$26,$E$7:$E$26)</f>
        <v>-2.76169950315783</v>
      </c>
      <c r="P478" s="9" t="n">
        <f aca="false">-0.5*((LN(N478)-LN($B$3))/$B$4)^2-LN(N478)</f>
        <v>-7.10874891280025</v>
      </c>
      <c r="Q478" s="9" t="n">
        <f aca="false">O478+P478</f>
        <v>-9.87044841595807</v>
      </c>
      <c r="R478" s="11" t="n">
        <f aca="false">EXP(Q478-MAX($Q$7:$Q$506))</f>
        <v>0.00156764960818112</v>
      </c>
      <c r="S478" s="11" t="n">
        <f aca="false">SUM($R$7:R478)/SUM($R$7:$R$506)</f>
        <v>0.999742377596408</v>
      </c>
    </row>
    <row r="479" customFormat="false" ht="15" hidden="false" customHeight="false" outlineLevel="0" collapsed="false">
      <c r="N479" s="12" t="n">
        <f aca="false">N478+0.01</f>
        <v>4.76999999999994</v>
      </c>
      <c r="O479" s="9" t="n">
        <f aca="false">SUMPRODUCT($F$7:$F$26,LN(1-EXP(-N479*$E$7:$E$26)+0.000000000001))-N479*SUMPRODUCT($G$7:$G$26,$E$7:$E$26)</f>
        <v>-2.76661057487426</v>
      </c>
      <c r="P479" s="9" t="n">
        <f aca="false">-0.5*((LN(N479)-LN($B$3))/$B$4)^2-LN(N479)</f>
        <v>-7.12483838357201</v>
      </c>
      <c r="Q479" s="9" t="n">
        <f aca="false">O479+P479</f>
        <v>-9.89144895844628</v>
      </c>
      <c r="R479" s="11" t="n">
        <f aca="false">EXP(Q479-MAX($Q$7:$Q$506))</f>
        <v>0.00153507139337249</v>
      </c>
      <c r="S479" s="11" t="n">
        <f aca="false">SUM($R$7:R479)/SUM($R$7:$R$506)</f>
        <v>0.999754406398593</v>
      </c>
    </row>
    <row r="480" customFormat="false" ht="15" hidden="false" customHeight="false" outlineLevel="0" collapsed="false">
      <c r="N480" s="12" t="n">
        <f aca="false">N479+0.01</f>
        <v>4.77999999999994</v>
      </c>
      <c r="O480" s="9" t="n">
        <f aca="false">SUMPRODUCT($F$7:$F$26,LN(1-EXP(-N480*$E$7:$E$26)+0.000000000001))-N480*SUMPRODUCT($G$7:$G$26,$E$7:$E$26)</f>
        <v>-2.77152766474195</v>
      </c>
      <c r="P480" s="9" t="n">
        <f aca="false">-0.5*((LN(N480)-LN($B$3))/$B$4)^2-LN(N480)</f>
        <v>-7.14091172089256</v>
      </c>
      <c r="Q480" s="9" t="n">
        <f aca="false">O480+P480</f>
        <v>-9.9124393856345</v>
      </c>
      <c r="R480" s="11" t="n">
        <f aca="false">EXP(Q480-MAX($Q$7:$Q$506))</f>
        <v>0.00150318541000052</v>
      </c>
      <c r="S480" s="11" t="n">
        <f aca="false">SUM($R$7:R480)/SUM($R$7:$R$506)</f>
        <v>0.99976618534257</v>
      </c>
    </row>
    <row r="481" customFormat="false" ht="15" hidden="false" customHeight="false" outlineLevel="0" collapsed="false">
      <c r="N481" s="12" t="n">
        <f aca="false">N480+0.01</f>
        <v>4.78999999999994</v>
      </c>
      <c r="O481" s="9" t="n">
        <f aca="false">SUMPRODUCT($F$7:$F$26,LN(1-EXP(-N481*$E$7:$E$26)+0.000000000001))-N481*SUMPRODUCT($G$7:$G$26,$E$7:$E$26)</f>
        <v>-2.77645071800913</v>
      </c>
      <c r="P481" s="9" t="n">
        <f aca="false">-0.5*((LN(N481)-LN($B$3))/$B$4)^2-LN(N481)</f>
        <v>-7.15696895553192</v>
      </c>
      <c r="Q481" s="9" t="n">
        <f aca="false">O481+P481</f>
        <v>-9.93341967354105</v>
      </c>
      <c r="R481" s="11" t="n">
        <f aca="false">EXP(Q481-MAX($Q$7:$Q$506))</f>
        <v>0.00147197667619245</v>
      </c>
      <c r="S481" s="11" t="n">
        <f aca="false">SUM($R$7:R481)/SUM($R$7:$R$506)</f>
        <v>0.999777719735261</v>
      </c>
    </row>
    <row r="482" customFormat="false" ht="15" hidden="false" customHeight="false" outlineLevel="0" collapsed="false">
      <c r="N482" s="12" t="n">
        <f aca="false">N481+0.01</f>
        <v>4.79999999999994</v>
      </c>
      <c r="O482" s="9" t="n">
        <f aca="false">SUMPRODUCT($F$7:$F$26,LN(1-EXP(-N482*$E$7:$E$26)+0.000000000001))-N482*SUMPRODUCT($G$7:$G$26,$E$7:$E$26)</f>
        <v>-2.78137968046369</v>
      </c>
      <c r="P482" s="9" t="n">
        <f aca="false">-0.5*((LN(N482)-LN($B$3))/$B$4)^2-LN(N482)</f>
        <v>-7.17301011822042</v>
      </c>
      <c r="Q482" s="9" t="n">
        <f aca="false">O482+P482</f>
        <v>-9.95438979868411</v>
      </c>
      <c r="R482" s="11" t="n">
        <f aca="false">EXP(Q482-MAX($Q$7:$Q$506))</f>
        <v>0.00144143053861946</v>
      </c>
      <c r="S482" s="11" t="n">
        <f aca="false">SUM($R$7:R482)/SUM($R$7:$R$506)</f>
        <v>0.99978901476876</v>
      </c>
    </row>
    <row r="483" customFormat="false" ht="15" hidden="false" customHeight="false" outlineLevel="0" collapsed="false">
      <c r="N483" s="12" t="n">
        <f aca="false">N482+0.01</f>
        <v>4.80999999999994</v>
      </c>
      <c r="O483" s="9" t="n">
        <f aca="false">SUMPRODUCT($F$7:$F$26,LN(1-EXP(-N483*$E$7:$E$26)+0.000000000001))-N483*SUMPRODUCT($G$7:$G$26,$E$7:$E$26)</f>
        <v>-2.78631449842732</v>
      </c>
      <c r="P483" s="9" t="n">
        <f aca="false">-0.5*((LN(N483)-LN($B$3))/$B$4)^2-LN(N483)</f>
        <v>-7.18903523964797</v>
      </c>
      <c r="Q483" s="9" t="n">
        <f aca="false">O483+P483</f>
        <v>-9.9753497380753</v>
      </c>
      <c r="R483" s="11" t="n">
        <f aca="false">EXP(Q483-MAX($Q$7:$Q$506))</f>
        <v>0.00141153266525104</v>
      </c>
      <c r="S483" s="11" t="n">
        <f aca="false">SUM($R$7:R483)/SUM($R$7:$R$506)</f>
        <v>0.99980007552286</v>
      </c>
    </row>
    <row r="484" customFormat="false" ht="15" hidden="false" customHeight="false" outlineLevel="0" collapsed="false">
      <c r="N484" s="12" t="n">
        <f aca="false">N483+0.01</f>
        <v>4.81999999999994</v>
      </c>
      <c r="O484" s="9" t="n">
        <f aca="false">SUMPRODUCT($F$7:$F$26,LN(1-EXP(-N484*$E$7:$E$26)+0.000000000001))-N484*SUMPRODUCT($G$7:$G$26,$E$7:$E$26)</f>
        <v>-2.79125511874978</v>
      </c>
      <c r="P484" s="9" t="n">
        <f aca="false">-0.5*((LN(N484)-LN($B$3))/$B$4)^2-LN(N484)</f>
        <v>-7.20504435046353</v>
      </c>
      <c r="Q484" s="9" t="n">
        <f aca="false">O484+P484</f>
        <v>-9.99629946921331</v>
      </c>
      <c r="R484" s="11" t="n">
        <f aca="false">EXP(Q484-MAX($Q$7:$Q$506))</f>
        <v>0.00138226903826817</v>
      </c>
      <c r="S484" s="11" t="n">
        <f aca="false">SUM($R$7:R484)/SUM($R$7:$R$506)</f>
        <v>0.999810906967508</v>
      </c>
    </row>
    <row r="485" customFormat="false" ht="15" hidden="false" customHeight="false" outlineLevel="0" collapsed="false">
      <c r="N485" s="12" t="n">
        <f aca="false">N484+0.01</f>
        <v>4.82999999999994</v>
      </c>
      <c r="O485" s="9" t="n">
        <f aca="false">SUMPRODUCT($F$7:$F$26,LN(1-EXP(-N485*$E$7:$E$26)+0.000000000001))-N485*SUMPRODUCT($G$7:$G$26,$E$7:$E$26)</f>
        <v>-2.79620148880316</v>
      </c>
      <c r="P485" s="9" t="n">
        <f aca="false">-0.5*((LN(N485)-LN($B$3))/$B$4)^2-LN(N485)</f>
        <v>-7.22103748127449</v>
      </c>
      <c r="Q485" s="9" t="n">
        <f aca="false">O485+P485</f>
        <v>-10.0172389700776</v>
      </c>
      <c r="R485" s="11" t="n">
        <f aca="false">EXP(Q485-MAX($Q$7:$Q$506))</f>
        <v>0.00135362594713201</v>
      </c>
      <c r="S485" s="11" t="n">
        <f aca="false">SUM($R$7:R485)/SUM($R$7:$R$506)</f>
        <v>0.999821513965215</v>
      </c>
    </row>
    <row r="486" customFormat="false" ht="15" hidden="false" customHeight="false" outlineLevel="0" collapsed="false">
      <c r="N486" s="12" t="n">
        <f aca="false">N485+0.01</f>
        <v>4.83999999999994</v>
      </c>
      <c r="O486" s="9" t="n">
        <f aca="false">SUMPRODUCT($F$7:$F$26,LN(1-EXP(-N486*$E$7:$E$26)+0.000000000001))-N486*SUMPRODUCT($G$7:$G$26,$E$7:$E$26)</f>
        <v>-2.80115355647633</v>
      </c>
      <c r="P486" s="9" t="n">
        <f aca="false">-0.5*((LN(N486)-LN($B$3))/$B$4)^2-LN(N486)</f>
        <v>-7.23701466264606</v>
      </c>
      <c r="Q486" s="9" t="n">
        <f aca="false">O486+P486</f>
        <v>-10.0381682191224</v>
      </c>
      <c r="R486" s="11" t="n">
        <f aca="false">EXP(Q486-MAX($Q$7:$Q$506))</f>
        <v>0.00132558998180478</v>
      </c>
      <c r="S486" s="11" t="n">
        <f aca="false">SUM($R$7:R486)/SUM($R$7:$R$506)</f>
        <v>0.999831901273413</v>
      </c>
    </row>
    <row r="487" customFormat="false" ht="15" hidden="false" customHeight="false" outlineLevel="0" collapsed="false">
      <c r="N487" s="12" t="n">
        <f aca="false">N486+0.01</f>
        <v>4.84999999999994</v>
      </c>
      <c r="O487" s="9" t="n">
        <f aca="false">SUMPRODUCT($F$7:$F$26,LN(1-EXP(-N487*$E$7:$E$26)+0.000000000001))-N487*SUMPRODUCT($G$7:$G$26,$E$7:$E$26)</f>
        <v>-2.80611127016934</v>
      </c>
      <c r="P487" s="9" t="n">
        <f aca="false">-0.5*((LN(N487)-LN($B$3))/$B$4)^2-LN(N487)</f>
        <v>-7.25297592510076</v>
      </c>
      <c r="Q487" s="9" t="n">
        <f aca="false">O487+P487</f>
        <v>-10.0590871952701</v>
      </c>
      <c r="R487" s="11" t="n">
        <f aca="false">EXP(Q487-MAX($Q$7:$Q$506))</f>
        <v>0.00129814802611948</v>
      </c>
      <c r="S487" s="11" t="n">
        <f aca="false">SUM($R$7:R487)/SUM($R$7:$R$506)</f>
        <v>0.999842073546755</v>
      </c>
    </row>
    <row r="488" customFormat="false" ht="15" hidden="false" customHeight="false" outlineLevel="0" collapsed="false">
      <c r="N488" s="12" t="n">
        <f aca="false">N487+0.01</f>
        <v>4.85999999999994</v>
      </c>
      <c r="O488" s="9" t="n">
        <f aca="false">SUMPRODUCT($F$7:$F$26,LN(1-EXP(-N488*$E$7:$E$26)+0.000000000001))-N488*SUMPRODUCT($G$7:$G$26,$E$7:$E$26)</f>
        <v>-2.81107457878792</v>
      </c>
      <c r="P488" s="9" t="n">
        <f aca="false">-0.5*((LN(N488)-LN($B$3))/$B$4)^2-LN(N488)</f>
        <v>-7.26892129911783</v>
      </c>
      <c r="Q488" s="9" t="n">
        <f aca="false">O488+P488</f>
        <v>-10.0799958779058</v>
      </c>
      <c r="R488" s="11" t="n">
        <f aca="false">EXP(Q488-MAX($Q$7:$Q$506))</f>
        <v>0.00127128725129533</v>
      </c>
      <c r="S488" s="11" t="n">
        <f aca="false">SUM($R$7:R488)/SUM($R$7:$R$506)</f>
        <v>0.999852035339367</v>
      </c>
    </row>
    <row r="489" customFormat="false" ht="15" hidden="false" customHeight="false" outlineLevel="0" collapsed="false">
      <c r="N489" s="12" t="n">
        <f aca="false">N488+0.01</f>
        <v>4.86999999999994</v>
      </c>
      <c r="O489" s="9" t="n">
        <f aca="false">SUMPRODUCT($F$7:$F$26,LN(1-EXP(-N489*$E$7:$E$26)+0.000000000001))-N489*SUMPRODUCT($G$7:$G$26,$E$7:$E$26)</f>
        <v>-2.81604343173811</v>
      </c>
      <c r="P489" s="9" t="n">
        <f aca="false">-0.5*((LN(N489)-LN($B$3))/$B$4)^2-LN(N489)</f>
        <v>-7.28485081513271</v>
      </c>
      <c r="Q489" s="9" t="n">
        <f aca="false">O489+P489</f>
        <v>-10.1008942468708</v>
      </c>
      <c r="R489" s="11" t="n">
        <f aca="false">EXP(Q489-MAX($Q$7:$Q$506))</f>
        <v>0.00124499510959576</v>
      </c>
      <c r="S489" s="11" t="n">
        <f aca="false">SUM($R$7:R489)/SUM($R$7:$R$506)</f>
        <v>0.999861791107053</v>
      </c>
    </row>
    <row r="490" customFormat="false" ht="15" hidden="false" customHeight="false" outlineLevel="0" collapsed="false">
      <c r="N490" s="12" t="n">
        <f aca="false">N489+0.01</f>
        <v>4.87999999999994</v>
      </c>
      <c r="O490" s="9" t="n">
        <f aca="false">SUMPRODUCT($F$7:$F$26,LN(1-EXP(-N490*$E$7:$E$26)+0.000000000001))-N490*SUMPRODUCT($G$7:$G$26,$E$7:$E$26)</f>
        <v>-2.82101777892086</v>
      </c>
      <c r="P490" s="9" t="n">
        <f aca="false">-0.5*((LN(N490)-LN($B$3))/$B$4)^2-LN(N490)</f>
        <v>-7.30076450353648</v>
      </c>
      <c r="Q490" s="9" t="n">
        <f aca="false">O490+P490</f>
        <v>-10.1217822824573</v>
      </c>
      <c r="R490" s="11" t="n">
        <f aca="false">EXP(Q490-MAX($Q$7:$Q$506))</f>
        <v>0.00121925932812591</v>
      </c>
      <c r="S490" s="11" t="n">
        <f aca="false">SUM($R$7:R490)/SUM($R$7:$R$506)</f>
        <v>0.999871345209444</v>
      </c>
    </row>
    <row r="491" customFormat="false" ht="15" hidden="false" customHeight="false" outlineLevel="0" collapsed="false">
      <c r="N491" s="12" t="n">
        <f aca="false">N490+0.01</f>
        <v>4.88999999999994</v>
      </c>
      <c r="O491" s="9" t="n">
        <f aca="false">SUMPRODUCT($F$7:$F$26,LN(1-EXP(-N491*$E$7:$E$26)+0.000000000001))-N491*SUMPRODUCT($G$7:$G$26,$E$7:$E$26)</f>
        <v>-2.82599757072673</v>
      </c>
      <c r="P491" s="9" t="n">
        <f aca="false">-0.5*((LN(N491)-LN($B$3))/$B$4)^2-LN(N491)</f>
        <v>-7.3166623946754</v>
      </c>
      <c r="Q491" s="9" t="n">
        <f aca="false">O491+P491</f>
        <v>-10.1426599654021</v>
      </c>
      <c r="R491" s="11" t="n">
        <f aca="false">EXP(Q491-MAX($Q$7:$Q$506))</f>
        <v>0.00119406790276656</v>
      </c>
      <c r="S491" s="11" t="n">
        <f aca="false">SUM($R$7:R491)/SUM($R$7:$R$506)</f>
        <v>0.999880701912109</v>
      </c>
    </row>
    <row r="492" customFormat="false" ht="15" hidden="false" customHeight="false" outlineLevel="0" collapsed="false">
      <c r="N492" s="12" t="n">
        <f aca="false">N491+0.01</f>
        <v>4.89999999999994</v>
      </c>
      <c r="O492" s="9" t="n">
        <f aca="false">SUMPRODUCT($F$7:$F$26,LN(1-EXP(-N492*$E$7:$E$26)+0.000000000001))-N492*SUMPRODUCT($G$7:$G$26,$E$7:$E$26)</f>
        <v>-2.83098275803069</v>
      </c>
      <c r="P492" s="9" t="n">
        <f aca="false">-0.5*((LN(N492)-LN($B$3))/$B$4)^2-LN(N492)</f>
        <v>-7.33254451885035</v>
      </c>
      <c r="Q492" s="9" t="n">
        <f aca="false">O492+P492</f>
        <v>-10.163527276881</v>
      </c>
      <c r="R492" s="11" t="n">
        <f aca="false">EXP(Q492-MAX($Q$7:$Q$506))</f>
        <v>0.0011694090922417</v>
      </c>
      <c r="S492" s="11" t="n">
        <f aca="false">SUM($R$7:R492)/SUM($R$7:$R$506)</f>
        <v>0.999889865388612</v>
      </c>
    </row>
    <row r="493" customFormat="false" ht="15" hidden="false" customHeight="false" outlineLevel="0" collapsed="false">
      <c r="N493" s="12" t="n">
        <f aca="false">N492+0.01</f>
        <v>4.90999999999994</v>
      </c>
      <c r="O493" s="9" t="n">
        <f aca="false">SUMPRODUCT($F$7:$F$26,LN(1-EXP(-N493*$E$7:$E$26)+0.000000000001))-N493*SUMPRODUCT($G$7:$G$26,$E$7:$E$26)</f>
        <v>-2.8359732921869</v>
      </c>
      <c r="P493" s="9" t="n">
        <f aca="false">-0.5*((LN(N493)-LN($B$3))/$B$4)^2-LN(N493)</f>
        <v>-7.34841090631639</v>
      </c>
      <c r="Q493" s="9" t="n">
        <f aca="false">O493+P493</f>
        <v>-10.1843841985033</v>
      </c>
      <c r="R493" s="11" t="n">
        <f aca="false">EXP(Q493-MAX($Q$7:$Q$506))</f>
        <v>0.00114527141231667</v>
      </c>
      <c r="S493" s="11" t="n">
        <f aca="false">SUM($R$7:R493)/SUM($R$7:$R$506)</f>
        <v>0.999898839722527</v>
      </c>
    </row>
    <row r="494" customFormat="false" ht="15" hidden="false" customHeight="false" outlineLevel="0" collapsed="false">
      <c r="N494" s="12" t="n">
        <f aca="false">N493+0.01</f>
        <v>4.91999999999994</v>
      </c>
      <c r="O494" s="9" t="n">
        <f aca="false">SUMPRODUCT($F$7:$F$26,LN(1-EXP(-N494*$E$7:$E$26)+0.000000000001))-N494*SUMPRODUCT($G$7:$G$26,$E$7:$E$26)</f>
        <v>-2.84096912502367</v>
      </c>
      <c r="P494" s="9" t="n">
        <f aca="false">-0.5*((LN(N494)-LN($B$3))/$B$4)^2-LN(N494)</f>
        <v>-7.36426158728225</v>
      </c>
      <c r="Q494" s="9" t="n">
        <f aca="false">O494+P494</f>
        <v>-10.2052307123059</v>
      </c>
      <c r="R494" s="11" t="n">
        <f aca="false">EXP(Q494-MAX($Q$7:$Q$506))</f>
        <v>0.00112164363012416</v>
      </c>
      <c r="S494" s="11" t="n">
        <f aca="false">SUM($R$7:R494)/SUM($R$7:$R$506)</f>
        <v>0.999907628909405</v>
      </c>
    </row>
    <row r="495" customFormat="false" ht="15" hidden="false" customHeight="false" outlineLevel="0" collapsed="false">
      <c r="N495" s="12" t="n">
        <f aca="false">N494+0.01</f>
        <v>4.92999999999994</v>
      </c>
      <c r="O495" s="9" t="n">
        <f aca="false">SUMPRODUCT($F$7:$F$26,LN(1-EXP(-N495*$E$7:$E$26)+0.000000000001))-N495*SUMPRODUCT($G$7:$G$26,$E$7:$E$26)</f>
        <v>-2.84597020883832</v>
      </c>
      <c r="P495" s="9" t="n">
        <f aca="false">-0.5*((LN(N495)-LN($B$3))/$B$4)^2-LN(N495)</f>
        <v>-7.38009659190988</v>
      </c>
      <c r="Q495" s="9" t="n">
        <f aca="false">O495+P495</f>
        <v>-10.2260668007482</v>
      </c>
      <c r="R495" s="11" t="n">
        <f aca="false">EXP(Q495-MAX($Q$7:$Q$506))</f>
        <v>0.00109851475861529</v>
      </c>
      <c r="S495" s="11" t="n">
        <f aca="false">SUM($R$7:R495)/SUM($R$7:$R$506)</f>
        <v>0.999916236858707</v>
      </c>
    </row>
    <row r="496" customFormat="false" ht="15" hidden="false" customHeight="false" outlineLevel="0" collapsed="false">
      <c r="N496" s="12" t="n">
        <f aca="false">N495+0.01</f>
        <v>4.93999999999994</v>
      </c>
      <c r="O496" s="9" t="n">
        <f aca="false">SUMPRODUCT($F$7:$F$26,LN(1-EXP(-N496*$E$7:$E$26)+0.000000000001))-N496*SUMPRODUCT($G$7:$G$26,$E$7:$E$26)</f>
        <v>-2.85097649639226</v>
      </c>
      <c r="P496" s="9" t="n">
        <f aca="false">-0.5*((LN(N496)-LN($B$3))/$B$4)^2-LN(N496)</f>
        <v>-7.39591595031399</v>
      </c>
      <c r="Q496" s="9" t="n">
        <f aca="false">O496+P496</f>
        <v>-10.2468924467062</v>
      </c>
      <c r="R496" s="11" t="n">
        <f aca="false">EXP(Q496-MAX($Q$7:$Q$506))</f>
        <v>0.001075874051133</v>
      </c>
      <c r="S496" s="11" t="n">
        <f aca="false">SUM($R$7:R496)/SUM($R$7:$R$506)</f>
        <v>0.999924667395679</v>
      </c>
    </row>
    <row r="497" customFormat="false" ht="15" hidden="false" customHeight="false" outlineLevel="0" collapsed="false">
      <c r="N497" s="12" t="n">
        <f aca="false">N496+0.01</f>
        <v>4.94999999999994</v>
      </c>
      <c r="O497" s="9" t="n">
        <f aca="false">SUMPRODUCT($F$7:$F$26,LN(1-EXP(-N497*$E$7:$E$26)+0.000000000001))-N497*SUMPRODUCT($G$7:$G$26,$E$7:$E$26)</f>
        <v>-2.85598794090603</v>
      </c>
      <c r="P497" s="9" t="n">
        <f aca="false">-0.5*((LN(N497)-LN($B$3))/$B$4)^2-LN(N497)</f>
        <v>-7.4117196925616</v>
      </c>
      <c r="Q497" s="9" t="n">
        <f aca="false">O497+P497</f>
        <v>-10.2677076334676</v>
      </c>
      <c r="R497" s="11" t="n">
        <f aca="false">EXP(Q497-MAX($Q$7:$Q$506))</f>
        <v>0.00105371099610522</v>
      </c>
      <c r="S497" s="11" t="n">
        <f aca="false">SUM($R$7:R497)/SUM($R$7:$R$506)</f>
        <v>0.999932924263201</v>
      </c>
    </row>
    <row r="498" customFormat="false" ht="15" hidden="false" customHeight="false" outlineLevel="0" collapsed="false">
      <c r="N498" s="12" t="n">
        <f aca="false">N497+0.01</f>
        <v>4.95999999999994</v>
      </c>
      <c r="O498" s="9" t="n">
        <f aca="false">SUMPRODUCT($F$7:$F$26,LN(1-EXP(-N498*$E$7:$E$26)+0.000000000001))-N498*SUMPRODUCT($G$7:$G$26,$E$7:$E$26)</f>
        <v>-2.86100449605442</v>
      </c>
      <c r="P498" s="9" t="n">
        <f aca="false">-0.5*((LN(N498)-LN($B$3))/$B$4)^2-LN(N498)</f>
        <v>-7.42750784867164</v>
      </c>
      <c r="Q498" s="9" t="n">
        <f aca="false">O498+P498</f>
        <v>-10.2885123447261</v>
      </c>
      <c r="R498" s="11" t="n">
        <f aca="false">EXP(Q498-MAX($Q$7:$Q$506))</f>
        <v>0.00103201531185509</v>
      </c>
      <c r="S498" s="11" t="n">
        <f aca="false">SUM($R$7:R498)/SUM($R$7:$R$506)</f>
        <v>0.999941011123586</v>
      </c>
    </row>
    <row r="499" customFormat="false" ht="15" hidden="false" customHeight="false" outlineLevel="0" collapsed="false">
      <c r="N499" s="12" t="n">
        <f aca="false">N498+0.01</f>
        <v>4.96999999999994</v>
      </c>
      <c r="O499" s="9" t="n">
        <f aca="false">SUMPRODUCT($F$7:$F$26,LN(1-EXP(-N499*$E$7:$E$26)+0.000000000001))-N499*SUMPRODUCT($G$7:$G$26,$E$7:$E$26)</f>
        <v>-2.86602611596166</v>
      </c>
      <c r="P499" s="9" t="n">
        <f aca="false">-0.5*((LN(N499)-LN($B$3))/$B$4)^2-LN(N499)</f>
        <v>-7.44328044861448</v>
      </c>
      <c r="Q499" s="9" t="n">
        <f aca="false">O499+P499</f>
        <v>-10.3093065645761</v>
      </c>
      <c r="R499" s="11" t="n">
        <f aca="false">EXP(Q499-MAX($Q$7:$Q$506))</f>
        <v>0.00101077694152569</v>
      </c>
      <c r="S499" s="11" t="n">
        <f aca="false">SUM($R$7:R499)/SUM($R$7:$R$506)</f>
        <v>0.999948931560339</v>
      </c>
    </row>
    <row r="500" customFormat="false" ht="15" hidden="false" customHeight="false" outlineLevel="0" collapsed="false">
      <c r="N500" s="12" t="n">
        <f aca="false">N499+0.01</f>
        <v>4.97999999999994</v>
      </c>
      <c r="O500" s="9" t="n">
        <f aca="false">SUMPRODUCT($F$7:$F$26,LN(1-EXP(-N500*$E$7:$E$26)+0.000000000001))-N500*SUMPRODUCT($G$7:$G$26,$E$7:$E$26)</f>
        <v>-2.87105275519664</v>
      </c>
      <c r="P500" s="9" t="n">
        <f aca="false">-0.5*((LN(N500)-LN($B$3))/$B$4)^2-LN(N500)</f>
        <v>-7.45903752231156</v>
      </c>
      <c r="Q500" s="9" t="n">
        <f aca="false">O500+P500</f>
        <v>-10.3300902775082</v>
      </c>
      <c r="R500" s="11" t="n">
        <f aca="false">EXP(Q500-MAX($Q$7:$Q$506))</f>
        <v>0.000989986048116963</v>
      </c>
      <c r="S500" s="11" t="n">
        <f aca="false">SUM($R$7:R500)/SUM($R$7:$R$506)</f>
        <v>0.999956689079884</v>
      </c>
    </row>
    <row r="501" customFormat="false" ht="15" hidden="false" customHeight="false" outlineLevel="0" collapsed="false">
      <c r="N501" s="12" t="n">
        <f aca="false">N500+0.01</f>
        <v>4.98999999999994</v>
      </c>
      <c r="O501" s="9" t="n">
        <f aca="false">SUMPRODUCT($F$7:$F$26,LN(1-EXP(-N501*$E$7:$E$26)+0.000000000001))-N501*SUMPRODUCT($G$7:$G$26,$E$7:$E$26)</f>
        <v>-2.87608436876823</v>
      </c>
      <c r="P501" s="9" t="n">
        <f aca="false">-0.5*((LN(N501)-LN($B$3))/$B$4)^2-LN(N501)</f>
        <v>-7.47477909963498</v>
      </c>
      <c r="Q501" s="9" t="n">
        <f aca="false">O501+P501</f>
        <v>-10.3508634684032</v>
      </c>
      <c r="R501" s="11" t="n">
        <f aca="false">EXP(Q501-MAX($Q$7:$Q$506))</f>
        <v>0.000969633009632166</v>
      </c>
      <c r="S501" s="11" t="n">
        <f aca="false">SUM($R$7:R501)/SUM($R$7:$R$506)</f>
        <v>0.99996428711325</v>
      </c>
    </row>
    <row r="502" customFormat="false" ht="15" hidden="false" customHeight="false" outlineLevel="0" collapsed="false">
      <c r="N502" s="12" t="n">
        <f aca="false">N501+0.01</f>
        <v>4.99999999999994</v>
      </c>
      <c r="O502" s="9" t="n">
        <f aca="false">SUMPRODUCT($F$7:$F$26,LN(1-EXP(-N502*$E$7:$E$26)+0.000000000001))-N502*SUMPRODUCT($G$7:$G$26,$E$7:$E$26)</f>
        <v>-2.88112091212062</v>
      </c>
      <c r="P502" s="9" t="n">
        <f aca="false">-0.5*((LN(N502)-LN($B$3))/$B$4)^2-LN(N502)</f>
        <v>-7.49050521040709</v>
      </c>
      <c r="Q502" s="9" t="n">
        <f aca="false">O502+P502</f>
        <v>-10.3716261225277</v>
      </c>
      <c r="R502" s="11" t="n">
        <f aca="false">EXP(Q502-MAX($Q$7:$Q$506))</f>
        <v>0.000949708414331571</v>
      </c>
      <c r="S502" s="11" t="n">
        <f aca="false">SUM($R$7:R502)/SUM($R$7:$R$506)</f>
        <v>0.99997172901771</v>
      </c>
    </row>
    <row r="503" customFormat="false" ht="15" hidden="false" customHeight="false" outlineLevel="0" collapsed="false">
      <c r="N503" s="12" t="n">
        <f aca="false">N502+0.01</f>
        <v>5.00999999999994</v>
      </c>
      <c r="O503" s="9" t="n">
        <f aca="false">SUMPRODUCT($F$7:$F$26,LN(1-EXP(-N503*$E$7:$E$26)+0.000000000001))-N503*SUMPRODUCT($G$7:$G$26,$E$7:$E$26)</f>
        <v>-2.8861623411287</v>
      </c>
      <c r="P503" s="9" t="n">
        <f aca="false">-0.5*((LN(N503)-LN($B$3))/$B$4)^2-LN(N503)</f>
        <v>-7.50621588440014</v>
      </c>
      <c r="Q503" s="9" t="n">
        <f aca="false">O503+P503</f>
        <v>-10.3923782255288</v>
      </c>
      <c r="R503" s="11" t="n">
        <f aca="false">EXP(Q503-MAX($Q$7:$Q$506))</f>
        <v>0.000930203056091115</v>
      </c>
      <c r="S503" s="11" t="n">
        <f aca="false">SUM($R$7:R503)/SUM($R$7:$R$506)</f>
        <v>0.999979018078402</v>
      </c>
    </row>
    <row r="504" customFormat="false" ht="15" hidden="false" customHeight="false" outlineLevel="0" collapsed="false">
      <c r="N504" s="12" t="n">
        <f aca="false">N503+0.01</f>
        <v>5.01999999999994</v>
      </c>
      <c r="O504" s="9" t="n">
        <f aca="false">SUMPRODUCT($F$7:$F$26,LN(1-EXP(-N504*$E$7:$E$26)+0.000000000001))-N504*SUMPRODUCT($G$7:$G$26,$E$7:$E$26)</f>
        <v>-2.89120861209355</v>
      </c>
      <c r="P504" s="9" t="n">
        <f aca="false">-0.5*((LN(N504)-LN($B$3))/$B$4)^2-LN(N504)</f>
        <v>-7.52191115133591</v>
      </c>
      <c r="Q504" s="9" t="n">
        <f aca="false">O504+P504</f>
        <v>-10.4131197634295</v>
      </c>
      <c r="R504" s="11" t="n">
        <f aca="false">EXP(Q504-MAX($Q$7:$Q$506))</f>
        <v>0.000911107929863615</v>
      </c>
      <c r="S504" s="11" t="n">
        <f aca="false">SUM($R$7:R504)/SUM($R$7:$R$506)</f>
        <v>0.9999861575099</v>
      </c>
    </row>
    <row r="505" customFormat="false" ht="15" hidden="false" customHeight="false" outlineLevel="0" collapsed="false">
      <c r="N505" s="12" t="n">
        <f aca="false">N504+0.01</f>
        <v>5.02999999999994</v>
      </c>
      <c r="O505" s="9" t="n">
        <f aca="false">SUMPRODUCT($F$7:$F$26,LN(1-EXP(-N505*$E$7:$E$26)+0.000000000001))-N505*SUMPRODUCT($G$7:$G$26,$E$7:$E$26)</f>
        <v>-2.89625968173792</v>
      </c>
      <c r="P505" s="9" t="n">
        <f aca="false">-0.5*((LN(N505)-LN($B$3))/$B$4)^2-LN(N505)</f>
        <v>-7.53759104088531</v>
      </c>
      <c r="Q505" s="9" t="n">
        <f aca="false">O505+P505</f>
        <v>-10.4338507226232</v>
      </c>
      <c r="R505" s="11" t="n">
        <f aca="false">EXP(Q505-MAX($Q$7:$Q$506))</f>
        <v>0.000892414227240367</v>
      </c>
      <c r="S505" s="11" t="n">
        <f aca="false">SUM($R$7:R505)/SUM($R$7:$R$506)</f>
        <v>0.999993150457754</v>
      </c>
    </row>
    <row r="506" customFormat="false" ht="15" hidden="false" customHeight="false" outlineLevel="0" collapsed="false">
      <c r="N506" s="12" t="n">
        <f aca="false">N505+0.01</f>
        <v>5.03999999999994</v>
      </c>
      <c r="O506" s="9" t="n">
        <f aca="false">SUMPRODUCT($F$7:$F$26,LN(1-EXP(-N506*$E$7:$E$26)+0.000000000001))-N506*SUMPRODUCT($G$7:$G$26,$E$7:$E$26)</f>
        <v>-2.90131550720179</v>
      </c>
      <c r="P506" s="9" t="n">
        <f aca="false">-0.5*((LN(N506)-LN($B$3))/$B$4)^2-LN(N506)</f>
        <v>-7.55325558266809</v>
      </c>
      <c r="Q506" s="9" t="n">
        <f aca="false">O506+P506</f>
        <v>-10.4545710898699</v>
      </c>
      <c r="R506" s="11" t="n">
        <f aca="false">EXP(Q506-MAX($Q$7:$Q$506))</f>
        <v>0.000874113332110928</v>
      </c>
      <c r="S506" s="11" t="n">
        <f aca="false">SUM($R$7:R506)/SUM($R$7:$R$506)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36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4" t="s">
        <v>42</v>
      </c>
    </row>
    <row r="3" customFormat="false" ht="15" hidden="false" customHeight="false" outlineLevel="0" collapsed="false">
      <c r="A3" s="13" t="s">
        <v>43</v>
      </c>
      <c r="H3" s="13" t="s">
        <v>44</v>
      </c>
    </row>
    <row r="4" customFormat="false" ht="15" hidden="false" customHeight="false" outlineLevel="0" collapsed="false">
      <c r="A4" s="8" t="s">
        <v>45</v>
      </c>
      <c r="B4" s="8" t="s">
        <v>46</v>
      </c>
      <c r="C4" s="8" t="s">
        <v>47</v>
      </c>
      <c r="H4" s="16" t="s">
        <v>48</v>
      </c>
      <c r="I4" s="6" t="n">
        <v>0.1</v>
      </c>
    </row>
    <row r="5" customFormat="false" ht="15" hidden="false" customHeight="false" outlineLevel="0" collapsed="false">
      <c r="A5" s="6" t="n">
        <v>0</v>
      </c>
      <c r="B5" s="6" t="n">
        <v>0.3</v>
      </c>
      <c r="C5" s="9" t="n">
        <f aca="false">IF(B5="","",LN(1-B5))</f>
        <v>-0.356674943938732</v>
      </c>
      <c r="E5" s="5" t="s">
        <v>49</v>
      </c>
      <c r="F5" s="15" t="n">
        <f aca="false">-SLOPE(C5:C12,A5:A12)</f>
        <v>0.0988586288488706</v>
      </c>
      <c r="H5" s="16" t="s">
        <v>50</v>
      </c>
      <c r="I5" s="6" t="n">
        <v>0.5</v>
      </c>
    </row>
    <row r="6" customFormat="false" ht="15" hidden="false" customHeight="false" outlineLevel="0" collapsed="false">
      <c r="A6" s="6" t="n">
        <v>1</v>
      </c>
      <c r="B6" s="6" t="n">
        <v>0.37</v>
      </c>
      <c r="C6" s="9" t="n">
        <f aca="false">IF(B6="","",LN(1-B6))</f>
        <v>-0.462035459596559</v>
      </c>
      <c r="H6" s="16" t="s">
        <v>51</v>
      </c>
      <c r="I6" s="9" t="n">
        <f aca="false">F32+F33*I4</f>
        <v>0.464</v>
      </c>
    </row>
    <row r="7" customFormat="false" ht="15" hidden="false" customHeight="false" outlineLevel="0" collapsed="false">
      <c r="A7" s="6" t="n">
        <v>2</v>
      </c>
      <c r="B7" s="6" t="n">
        <v>0.43</v>
      </c>
      <c r="C7" s="9" t="n">
        <f aca="false">IF(B7="","",LN(1-B7))</f>
        <v>-0.562118918153541</v>
      </c>
      <c r="H7" s="16" t="s">
        <v>52</v>
      </c>
      <c r="I7" s="9" t="n">
        <f aca="false">F42+F43*I5</f>
        <v>0.573666666666667</v>
      </c>
    </row>
    <row r="8" customFormat="false" ht="15" hidden="false" customHeight="false" outlineLevel="0" collapsed="false">
      <c r="A8" s="6" t="n">
        <v>3</v>
      </c>
      <c r="B8" s="6" t="n">
        <v>0.48</v>
      </c>
      <c r="C8" s="9" t="n">
        <f aca="false">IF(B8="","",LN(1-B8))</f>
        <v>-0.653926467406664</v>
      </c>
    </row>
    <row r="9" customFormat="false" ht="15" hidden="false" customHeight="false" outlineLevel="0" collapsed="false">
      <c r="A9" s="6" t="n">
        <v>4</v>
      </c>
      <c r="B9" s="6" t="n">
        <v>0.53</v>
      </c>
      <c r="C9" s="9" t="n">
        <f aca="false">IF(B9="","",LN(1-B9))</f>
        <v>-0.755022584278033</v>
      </c>
      <c r="E9" s="7" t="s">
        <v>53</v>
      </c>
    </row>
    <row r="10" customFormat="false" ht="15" hidden="false" customHeight="false" outlineLevel="0" collapsed="false">
      <c r="A10" s="6"/>
      <c r="B10" s="6"/>
      <c r="C10" s="9" t="str">
        <f aca="false">IF(B10="","",LN(1-B10))</f>
        <v/>
      </c>
    </row>
    <row r="11" customFormat="false" ht="15" hidden="false" customHeight="false" outlineLevel="0" collapsed="false">
      <c r="A11" s="6"/>
      <c r="B11" s="6"/>
      <c r="C11" s="9" t="str">
        <f aca="false">IF(B11="","",LN(1-B11))</f>
        <v/>
      </c>
    </row>
    <row r="12" customFormat="false" ht="15" hidden="false" customHeight="false" outlineLevel="0" collapsed="false">
      <c r="A12" s="6"/>
      <c r="B12" s="6"/>
      <c r="C12" s="9" t="str">
        <f aca="false">IF(B12="","",LN(1-B12))</f>
        <v/>
      </c>
    </row>
    <row r="13" customFormat="false" ht="15" hidden="false" customHeight="false" outlineLevel="0" collapsed="false">
      <c r="A13" s="13" t="s">
        <v>54</v>
      </c>
    </row>
    <row r="14" customFormat="false" ht="15" hidden="false" customHeight="false" outlineLevel="0" collapsed="false">
      <c r="A14" s="8" t="s">
        <v>45</v>
      </c>
      <c r="B14" s="8" t="s">
        <v>46</v>
      </c>
      <c r="C14" s="8" t="s">
        <v>47</v>
      </c>
    </row>
    <row r="15" customFormat="false" ht="15" hidden="false" customHeight="false" outlineLevel="0" collapsed="false">
      <c r="A15" s="6" t="n">
        <v>0</v>
      </c>
      <c r="B15" s="6" t="n">
        <v>0.2</v>
      </c>
      <c r="C15" s="9" t="n">
        <f aca="false">IF(B15="","",LN($I$6-B15))</f>
        <v>-1.33180617583582</v>
      </c>
      <c r="E15" s="5" t="s">
        <v>55</v>
      </c>
      <c r="F15" s="15" t="n">
        <f aca="false">-SLOPE(C15:C22,A15:A22)</f>
        <v>0.309271947150216</v>
      </c>
    </row>
    <row r="16" customFormat="false" ht="15" hidden="false" customHeight="false" outlineLevel="0" collapsed="false">
      <c r="A16" s="6" t="n">
        <v>1</v>
      </c>
      <c r="B16" s="6" t="n">
        <v>0.27</v>
      </c>
      <c r="C16" s="9" t="n">
        <f aca="false">IF(B16="","",LN($I$6-B16))</f>
        <v>-1.63989711991881</v>
      </c>
    </row>
    <row r="17" customFormat="false" ht="15" hidden="false" customHeight="false" outlineLevel="0" collapsed="false">
      <c r="A17" s="6" t="n">
        <v>2</v>
      </c>
      <c r="B17" s="6" t="n">
        <v>0.32</v>
      </c>
      <c r="C17" s="9" t="n">
        <f aca="false">IF(B17="","",LN($I$6-B17))</f>
        <v>-1.93794197940614</v>
      </c>
    </row>
    <row r="18" customFormat="false" ht="15" hidden="false" customHeight="false" outlineLevel="0" collapsed="false">
      <c r="A18" s="6" t="n">
        <v>3</v>
      </c>
      <c r="B18" s="6" t="n">
        <v>0.36</v>
      </c>
      <c r="C18" s="9" t="n">
        <f aca="false">IF(B18="","",LN($I$6-B18))</f>
        <v>-2.26336437984076</v>
      </c>
    </row>
    <row r="19" customFormat="false" ht="15" hidden="false" customHeight="false" outlineLevel="0" collapsed="false">
      <c r="A19" s="6"/>
      <c r="B19" s="6"/>
      <c r="C19" s="9" t="str">
        <f aca="false">IF(B19="","",LN($I$6-B19))</f>
        <v/>
      </c>
      <c r="E19" s="7" t="s">
        <v>56</v>
      </c>
    </row>
    <row r="20" customFormat="false" ht="15" hidden="false" customHeight="false" outlineLevel="0" collapsed="false">
      <c r="A20" s="6"/>
      <c r="B20" s="6"/>
      <c r="C20" s="9" t="str">
        <f aca="false">IF(B20="","",LN($I$6-B20))</f>
        <v/>
      </c>
    </row>
    <row r="21" customFormat="false" ht="15" hidden="false" customHeight="false" outlineLevel="0" collapsed="false">
      <c r="A21" s="6"/>
      <c r="B21" s="6"/>
      <c r="C21" s="9" t="str">
        <f aca="false">IF(B21="","",LN($I$6-B21))</f>
        <v/>
      </c>
    </row>
    <row r="22" customFormat="false" ht="15" hidden="false" customHeight="false" outlineLevel="0" collapsed="false">
      <c r="A22" s="6"/>
      <c r="B22" s="6"/>
      <c r="C22" s="9" t="str">
        <f aca="false">IF(B22="","",LN($I$6-B22))</f>
        <v/>
      </c>
    </row>
    <row r="24" customFormat="false" ht="15" hidden="false" customHeight="false" outlineLevel="0" collapsed="false">
      <c r="A24" s="13" t="s">
        <v>57</v>
      </c>
    </row>
    <row r="25" customFormat="false" ht="15" hidden="false" customHeight="false" outlineLevel="0" collapsed="false">
      <c r="A25" s="8" t="s">
        <v>58</v>
      </c>
      <c r="B25" s="8" t="s">
        <v>59</v>
      </c>
    </row>
    <row r="26" customFormat="false" ht="15" hidden="false" customHeight="false" outlineLevel="0" collapsed="false">
      <c r="A26" s="6" t="n">
        <v>0.1</v>
      </c>
      <c r="B26" s="6" t="n">
        <v>0.47</v>
      </c>
    </row>
    <row r="27" customFormat="false" ht="15" hidden="false" customHeight="false" outlineLevel="0" collapsed="false">
      <c r="A27" s="6" t="n">
        <v>0.3</v>
      </c>
      <c r="B27" s="6" t="n">
        <v>0.57</v>
      </c>
    </row>
    <row r="28" customFormat="false" ht="15" hidden="false" customHeight="false" outlineLevel="0" collapsed="false">
      <c r="A28" s="6" t="n">
        <v>0.5</v>
      </c>
      <c r="B28" s="6" t="n">
        <v>0.71</v>
      </c>
    </row>
    <row r="29" customFormat="false" ht="15" hidden="false" customHeight="false" outlineLevel="0" collapsed="false">
      <c r="A29" s="6" t="n">
        <v>0.7</v>
      </c>
      <c r="B29" s="6" t="n">
        <v>0.82</v>
      </c>
    </row>
    <row r="30" customFormat="false" ht="15" hidden="false" customHeight="false" outlineLevel="0" collapsed="false">
      <c r="A30" s="6"/>
      <c r="B30" s="6"/>
    </row>
    <row r="31" customFormat="false" ht="15" hidden="false" customHeight="false" outlineLevel="0" collapsed="false">
      <c r="A31" s="6"/>
      <c r="B31" s="6"/>
    </row>
    <row r="32" customFormat="false" ht="15" hidden="false" customHeight="false" outlineLevel="0" collapsed="false">
      <c r="E32" s="0" t="s">
        <v>60</v>
      </c>
      <c r="F32" s="15" t="n">
        <f aca="false">INTERCEPT(B26:B31,A26:A31)</f>
        <v>0.4045</v>
      </c>
    </row>
    <row r="33" customFormat="false" ht="15" hidden="false" customHeight="false" outlineLevel="0" collapsed="false">
      <c r="E33" s="0" t="s">
        <v>61</v>
      </c>
      <c r="F33" s="15" t="n">
        <f aca="false">SLOPE(B26:B31,A26:A31)</f>
        <v>0.595</v>
      </c>
    </row>
    <row r="34" customFormat="false" ht="15" hidden="false" customHeight="false" outlineLevel="0" collapsed="false">
      <c r="A34" s="13" t="s">
        <v>62</v>
      </c>
    </row>
    <row r="35" customFormat="false" ht="15" hidden="false" customHeight="false" outlineLevel="0" collapsed="false">
      <c r="A35" s="8" t="s">
        <v>46</v>
      </c>
      <c r="B35" s="8" t="s">
        <v>63</v>
      </c>
    </row>
    <row r="36" customFormat="false" ht="15" hidden="false" customHeight="false" outlineLevel="0" collapsed="false">
      <c r="A36" s="6" t="n">
        <v>0.3</v>
      </c>
      <c r="B36" s="6" t="n">
        <v>0.36</v>
      </c>
    </row>
    <row r="37" customFormat="false" ht="15" hidden="false" customHeight="false" outlineLevel="0" collapsed="false">
      <c r="A37" s="6" t="n">
        <v>0.45</v>
      </c>
      <c r="B37" s="6" t="n">
        <v>0.53</v>
      </c>
    </row>
    <row r="38" customFormat="false" ht="15" hidden="false" customHeight="false" outlineLevel="0" collapsed="false">
      <c r="A38" s="6" t="n">
        <v>0.6</v>
      </c>
      <c r="B38" s="6" t="n">
        <v>0.67</v>
      </c>
    </row>
    <row r="39" customFormat="false" ht="15" hidden="false" customHeight="false" outlineLevel="0" collapsed="false">
      <c r="A39" s="6" t="n">
        <v>0.75</v>
      </c>
      <c r="B39" s="6" t="n">
        <v>0.84</v>
      </c>
    </row>
    <row r="40" customFormat="false" ht="15" hidden="false" customHeight="false" outlineLevel="0" collapsed="false">
      <c r="A40" s="6"/>
      <c r="B40" s="6"/>
    </row>
    <row r="41" customFormat="false" ht="15" hidden="false" customHeight="false" outlineLevel="0" collapsed="false">
      <c r="A41" s="6"/>
      <c r="B41" s="6"/>
    </row>
    <row r="42" customFormat="false" ht="15" hidden="false" customHeight="false" outlineLevel="0" collapsed="false">
      <c r="E42" s="0" t="s">
        <v>64</v>
      </c>
      <c r="F42" s="15" t="n">
        <f aca="false">INTERCEPT(B36:B41,A36:A41)</f>
        <v>0.047</v>
      </c>
    </row>
    <row r="43" customFormat="false" ht="15" hidden="false" customHeight="false" outlineLevel="0" collapsed="false">
      <c r="E43" s="0" t="s">
        <v>65</v>
      </c>
      <c r="F43" s="15" t="n">
        <f aca="false">SLOPE(B36:B41,A36:A41)</f>
        <v>1.05333333333333</v>
      </c>
    </row>
    <row r="46" customFormat="false" ht="15" hidden="false" customHeight="false" outlineLevel="0" collapsed="false">
      <c r="A46" s="13" t="s">
        <v>66</v>
      </c>
    </row>
    <row r="47" customFormat="false" ht="15" hidden="false" customHeight="false" outlineLevel="0" collapsed="false">
      <c r="A47" s="8" t="s">
        <v>45</v>
      </c>
      <c r="B47" s="8" t="s">
        <v>58</v>
      </c>
      <c r="C47" s="8" t="s">
        <v>47</v>
      </c>
    </row>
    <row r="48" customFormat="false" ht="15" hidden="false" customHeight="false" outlineLevel="0" collapsed="false">
      <c r="A48" s="6" t="n">
        <v>0</v>
      </c>
      <c r="B48" s="6" t="n">
        <v>0.1</v>
      </c>
      <c r="C48" s="9" t="n">
        <f aca="false">IF(B48="","",LN($I$7-B48))</f>
        <v>-0.747251439553146</v>
      </c>
      <c r="E48" s="5" t="s">
        <v>67</v>
      </c>
      <c r="F48" s="15" t="n">
        <f aca="false">-SLOPE(C48:C55,A48:A55)</f>
        <v>0.236074352032351</v>
      </c>
    </row>
    <row r="49" customFormat="false" ht="15" hidden="false" customHeight="false" outlineLevel="0" collapsed="false">
      <c r="A49" s="6" t="n">
        <v>1</v>
      </c>
      <c r="B49" s="6" t="n">
        <v>0.2</v>
      </c>
      <c r="C49" s="9" t="n">
        <f aca="false">IF(B49="","",LN($I$7-B49))</f>
        <v>-0.984391144578087</v>
      </c>
    </row>
    <row r="50" customFormat="false" ht="15" hidden="false" customHeight="false" outlineLevel="0" collapsed="false">
      <c r="A50" s="6" t="n">
        <v>2</v>
      </c>
      <c r="B50" s="6" t="n">
        <v>0.28</v>
      </c>
      <c r="C50" s="9" t="n">
        <f aca="false">IF(B50="","",LN($I$7-B50))</f>
        <v>-1.22530994171407</v>
      </c>
    </row>
    <row r="51" customFormat="false" ht="15" hidden="false" customHeight="false" outlineLevel="0" collapsed="false">
      <c r="A51" s="6" t="n">
        <v>3</v>
      </c>
      <c r="B51" s="6" t="n">
        <v>0.34</v>
      </c>
      <c r="C51" s="9" t="n">
        <f aca="false">IF(B51="","",LN($I$7-B51))</f>
        <v>-1.45385968061566</v>
      </c>
    </row>
    <row r="52" customFormat="false" ht="15" hidden="false" customHeight="false" outlineLevel="0" collapsed="false">
      <c r="A52" s="6"/>
      <c r="B52" s="6"/>
      <c r="C52" s="9" t="str">
        <f aca="false">IF(B52="","",LN($I$7-B52))</f>
        <v/>
      </c>
      <c r="E52" s="7" t="s">
        <v>68</v>
      </c>
    </row>
    <row r="53" customFormat="false" ht="15" hidden="false" customHeight="false" outlineLevel="0" collapsed="false">
      <c r="A53" s="6"/>
      <c r="B53" s="6"/>
      <c r="C53" s="9" t="str">
        <f aca="false">IF(B53="","",LN($I$7-B53))</f>
        <v/>
      </c>
    </row>
    <row r="54" customFormat="false" ht="15" hidden="false" customHeight="false" outlineLevel="0" collapsed="false">
      <c r="A54" s="6"/>
      <c r="B54" s="6"/>
      <c r="C54" s="9" t="str">
        <f aca="false">IF(B54="","",LN($I$7-B54))</f>
        <v/>
      </c>
    </row>
    <row r="55" customFormat="false" ht="15" hidden="false" customHeight="false" outlineLevel="0" collapsed="false">
      <c r="A55" s="6"/>
      <c r="B55" s="6"/>
      <c r="C55" s="9" t="str">
        <f aca="false">IF(B55="","",LN($I$7-B55))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4" min="3" style="0" width="2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4" t="s">
        <v>69</v>
      </c>
    </row>
    <row r="3" customFormat="false" ht="15" hidden="false" customHeight="false" outlineLevel="0" collapsed="false">
      <c r="A3" s="8" t="s">
        <v>70</v>
      </c>
      <c r="B3" s="8" t="s">
        <v>71</v>
      </c>
      <c r="C3" s="8" t="s">
        <v>72</v>
      </c>
      <c r="D3" s="8" t="s">
        <v>73</v>
      </c>
      <c r="E3" s="8" t="s">
        <v>74</v>
      </c>
    </row>
    <row r="4" customFormat="false" ht="15" hidden="false" customHeight="false" outlineLevel="0" collapsed="false">
      <c r="A4" s="13" t="s">
        <v>75</v>
      </c>
      <c r="B4" s="5" t="s">
        <v>76</v>
      </c>
      <c r="C4" s="17" t="n">
        <f aca="false">Calib_Rates!F32</f>
        <v>0.4045</v>
      </c>
      <c r="D4" s="18" t="n">
        <v>0.4</v>
      </c>
      <c r="E4" s="15" t="n">
        <f aca="false">IF(D4="",C4,D4)</f>
        <v>0.4</v>
      </c>
    </row>
    <row r="5" customFormat="false" ht="15" hidden="false" customHeight="false" outlineLevel="0" collapsed="false">
      <c r="A5" s="13" t="s">
        <v>77</v>
      </c>
      <c r="B5" s="5" t="s">
        <v>78</v>
      </c>
      <c r="C5" s="17" t="n">
        <f aca="false">Calib_Rates!F33</f>
        <v>0.595</v>
      </c>
      <c r="D5" s="18" t="n">
        <v>0.6</v>
      </c>
      <c r="E5" s="15" t="n">
        <f aca="false">IF(D5="",C5,D5)</f>
        <v>0.6</v>
      </c>
    </row>
    <row r="6" customFormat="false" ht="15" hidden="false" customHeight="false" outlineLevel="0" collapsed="false">
      <c r="A6" s="13" t="s">
        <v>79</v>
      </c>
      <c r="B6" s="5" t="s">
        <v>80</v>
      </c>
      <c r="C6" s="17" t="n">
        <f aca="false">Calib_Rates!F42</f>
        <v>0.047</v>
      </c>
      <c r="D6" s="18" t="n">
        <v>0.05</v>
      </c>
      <c r="E6" s="15" t="n">
        <f aca="false">IF(D6="",C6,D6)</f>
        <v>0.05</v>
      </c>
    </row>
    <row r="7" customFormat="false" ht="15" hidden="false" customHeight="false" outlineLevel="0" collapsed="false">
      <c r="A7" s="13" t="s">
        <v>81</v>
      </c>
      <c r="B7" s="5" t="s">
        <v>82</v>
      </c>
      <c r="C7" s="17" t="n">
        <f aca="false">Calib_Rates!F43</f>
        <v>1.05333333333333</v>
      </c>
      <c r="D7" s="18" t="n">
        <v>1.05</v>
      </c>
      <c r="E7" s="15" t="n">
        <f aca="false">IF(D7="",C7,D7)</f>
        <v>1.05</v>
      </c>
    </row>
    <row r="8" customFormat="false" ht="15" hidden="false" customHeight="false" outlineLevel="0" collapsed="false">
      <c r="A8" s="13" t="s">
        <v>83</v>
      </c>
      <c r="B8" s="5" t="s">
        <v>84</v>
      </c>
      <c r="C8" s="17" t="n">
        <f aca="false">Calib_Rates!F15</f>
        <v>0.309271947150216</v>
      </c>
      <c r="D8" s="18" t="n">
        <v>0.3</v>
      </c>
      <c r="E8" s="15" t="n">
        <f aca="false">IF(D8="",C8,D8)</f>
        <v>0.3</v>
      </c>
    </row>
    <row r="9" customFormat="false" ht="15" hidden="false" customHeight="false" outlineLevel="0" collapsed="false">
      <c r="A9" s="13" t="s">
        <v>85</v>
      </c>
      <c r="B9" s="5" t="s">
        <v>86</v>
      </c>
      <c r="C9" s="17" t="n">
        <f aca="false">Calib_Rates!F5</f>
        <v>0.0988586288488706</v>
      </c>
      <c r="D9" s="18" t="n">
        <v>0.1</v>
      </c>
      <c r="E9" s="15" t="n">
        <f aca="false">IF(D9="",C9,D9)</f>
        <v>0.1</v>
      </c>
    </row>
    <row r="10" customFormat="false" ht="15" hidden="false" customHeight="false" outlineLevel="0" collapsed="false">
      <c r="A10" s="13" t="s">
        <v>87</v>
      </c>
      <c r="B10" s="5" t="s">
        <v>88</v>
      </c>
      <c r="C10" s="18" t="n">
        <v>0.05</v>
      </c>
      <c r="D10" s="18"/>
      <c r="E10" s="15" t="n">
        <f aca="false">IF(D10="",C10,D10)</f>
        <v>0.05</v>
      </c>
    </row>
    <row r="11" customFormat="false" ht="15" hidden="false" customHeight="false" outlineLevel="0" collapsed="false">
      <c r="A11" s="13" t="s">
        <v>89</v>
      </c>
      <c r="B11" s="5" t="s">
        <v>90</v>
      </c>
      <c r="C11" s="17" t="n">
        <f aca="false">Calib_Rates!F48</f>
        <v>0.236074352032351</v>
      </c>
      <c r="D11" s="18" t="n">
        <v>0.24</v>
      </c>
      <c r="E11" s="15" t="n">
        <f aca="false">IF(D11="",C11,D11)</f>
        <v>0.24</v>
      </c>
    </row>
    <row r="12" customFormat="false" ht="15" hidden="false" customHeight="false" outlineLevel="0" collapsed="false">
      <c r="A12" s="13" t="s">
        <v>91</v>
      </c>
      <c r="B12" s="5" t="s">
        <v>92</v>
      </c>
      <c r="C12" s="17" t="n">
        <f aca="false">Calib_Hazard!B34</f>
        <v>0.0354677765426673</v>
      </c>
      <c r="D12" s="18" t="n">
        <v>0.035</v>
      </c>
      <c r="E12" s="15" t="n">
        <f aca="false">IF(D12="",C12,D12)</f>
        <v>0.035</v>
      </c>
    </row>
    <row r="13" customFormat="false" ht="15" hidden="false" customHeight="false" outlineLevel="0" collapsed="false">
      <c r="A13" s="13" t="s">
        <v>93</v>
      </c>
      <c r="B13" s="5" t="s">
        <v>94</v>
      </c>
      <c r="C13" s="18" t="n">
        <v>0.05</v>
      </c>
      <c r="D13" s="18"/>
      <c r="E13" s="15" t="n">
        <f aca="false">IF(D13="",C13,D13)</f>
        <v>0.05</v>
      </c>
    </row>
    <row r="14" customFormat="false" ht="15" hidden="false" customHeight="false" outlineLevel="0" collapsed="false">
      <c r="A14" s="13" t="s">
        <v>95</v>
      </c>
      <c r="B14" s="5" t="s">
        <v>96</v>
      </c>
      <c r="C14" s="17" t="n">
        <f aca="false">Calib_Hazard!B31</f>
        <v>1.48</v>
      </c>
      <c r="D14" s="18" t="n">
        <v>1.5</v>
      </c>
      <c r="E14" s="15" t="n">
        <f aca="false">IF(D14="",C14,D14)</f>
        <v>1.5</v>
      </c>
    </row>
    <row r="15" customFormat="false" ht="15" hidden="false" customHeight="false" outlineLevel="0" collapsed="false">
      <c r="A15" s="13" t="s">
        <v>97</v>
      </c>
      <c r="B15" s="5" t="s">
        <v>98</v>
      </c>
      <c r="C15" s="18" t="n">
        <v>0.06</v>
      </c>
      <c r="D15" s="18"/>
      <c r="E15" s="15" t="n">
        <f aca="false">IF(D15="",C15,D15)</f>
        <v>0.06</v>
      </c>
    </row>
    <row r="16" customFormat="false" ht="15" hidden="false" customHeight="false" outlineLevel="0" collapsed="false">
      <c r="A16" s="13" t="s">
        <v>99</v>
      </c>
      <c r="B16" s="5" t="s">
        <v>100</v>
      </c>
      <c r="C16" s="18" t="n">
        <v>0.15</v>
      </c>
      <c r="D16" s="18"/>
      <c r="E16" s="15" t="n">
        <f aca="false">IF(D16="",C16,D16)</f>
        <v>0.15</v>
      </c>
    </row>
    <row r="17" customFormat="false" ht="15" hidden="false" customHeight="false" outlineLevel="0" collapsed="false">
      <c r="A17" s="13" t="s">
        <v>101</v>
      </c>
      <c r="B17" s="5" t="s">
        <v>102</v>
      </c>
      <c r="C17" s="18" t="n">
        <v>2</v>
      </c>
      <c r="D17" s="18"/>
      <c r="E17" s="15" t="n">
        <f aca="false">IF(D17="",C17,D17)</f>
        <v>2</v>
      </c>
    </row>
    <row r="19" customFormat="false" ht="15" hidden="false" customHeight="false" outlineLevel="0" collapsed="false">
      <c r="A19" s="13" t="s">
        <v>103</v>
      </c>
    </row>
    <row r="20" customFormat="false" ht="15" hidden="false" customHeight="false" outlineLevel="0" collapsed="false">
      <c r="A20" s="13" t="s">
        <v>104</v>
      </c>
      <c r="B20" s="5" t="s">
        <v>105</v>
      </c>
      <c r="E20" s="6" t="n">
        <v>0.75</v>
      </c>
    </row>
    <row r="21" customFormat="false" ht="15" hidden="false" customHeight="false" outlineLevel="0" collapsed="false">
      <c r="A21" s="13" t="s">
        <v>106</v>
      </c>
      <c r="B21" s="5" t="s">
        <v>107</v>
      </c>
      <c r="E21" s="6" t="n">
        <v>0.8</v>
      </c>
    </row>
    <row r="22" customFormat="false" ht="15" hidden="false" customHeight="false" outlineLevel="0" collapsed="false">
      <c r="A22" s="13" t="s">
        <v>108</v>
      </c>
      <c r="B22" s="5" t="s">
        <v>109</v>
      </c>
      <c r="E22" s="6" t="n">
        <v>0.05</v>
      </c>
    </row>
    <row r="23" customFormat="false" ht="15" hidden="false" customHeight="false" outlineLevel="0" collapsed="false">
      <c r="A23" s="13" t="s">
        <v>110</v>
      </c>
      <c r="B23" s="5" t="s">
        <v>111</v>
      </c>
      <c r="E23" s="6" t="n">
        <v>2</v>
      </c>
    </row>
    <row r="24" customFormat="false" ht="15" hidden="false" customHeight="false" outlineLevel="0" collapsed="false">
      <c r="A24" s="13" t="s">
        <v>112</v>
      </c>
      <c r="B24" s="5" t="s">
        <v>113</v>
      </c>
      <c r="E24" s="6" t="n">
        <v>30</v>
      </c>
    </row>
    <row r="26" customFormat="false" ht="15" hidden="false" customHeight="false" outlineLevel="0" collapsed="false">
      <c r="A26" s="13" t="s">
        <v>114</v>
      </c>
    </row>
    <row r="27" customFormat="false" ht="15" hidden="false" customHeight="false" outlineLevel="0" collapsed="false">
      <c r="A27" s="13" t="s">
        <v>115</v>
      </c>
      <c r="B27" s="5" t="s">
        <v>116</v>
      </c>
      <c r="E27" s="15" t="n">
        <f aca="false">MIN(1,MAX(0,(E21-E6)/E7))</f>
        <v>0.714285714285714</v>
      </c>
    </row>
    <row r="28" customFormat="false" ht="15" hidden="false" customHeight="false" outlineLevel="0" collapsed="false">
      <c r="A28" s="13" t="s">
        <v>117</v>
      </c>
      <c r="B28" s="5" t="s">
        <v>118</v>
      </c>
      <c r="E28" s="15" t="n">
        <f aca="false">MIN(1,MAX(0,1-SQRT(E22/E14)))</f>
        <v>0.817425814164945</v>
      </c>
    </row>
    <row r="29" customFormat="false" ht="15" hidden="false" customHeight="false" outlineLevel="0" collapsed="false">
      <c r="A29" s="13" t="s">
        <v>119</v>
      </c>
      <c r="B29" s="5" t="s">
        <v>120</v>
      </c>
      <c r="E29" s="15" t="n">
        <f aca="false">MAX(E27,E28)</f>
        <v>0.817425814164945</v>
      </c>
    </row>
    <row r="30" customFormat="false" ht="15" hidden="false" customHeight="false" outlineLevel="0" collapsed="false">
      <c r="A30" s="13" t="s">
        <v>121</v>
      </c>
      <c r="B30" s="5" t="s">
        <v>122</v>
      </c>
      <c r="E30" s="19" t="n">
        <f aca="false">1-EXP(-E14*(1-E29)^2*E23)</f>
        <v>0.0951625819640404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6" min="3" style="0" width="8"/>
    <col collapsed="false" customWidth="true" hidden="false" outlineLevel="0" max="14" min="7" style="0" width="9"/>
    <col collapsed="false" customWidth="true" hidden="false" outlineLevel="0" max="15" min="15" style="0" width="7"/>
    <col collapsed="false" customWidth="true" hidden="false" outlineLevel="0" max="16" min="16" style="0" width="40"/>
    <col collapsed="false" customWidth="true" hidden="false" outlineLevel="0" max="18" min="17" style="0" width="10"/>
  </cols>
  <sheetData>
    <row r="1" customFormat="false" ht="17.35" hidden="false" customHeight="false" outlineLevel="0" collapsed="false">
      <c r="A1" s="4" t="s">
        <v>123</v>
      </c>
    </row>
    <row r="2" customFormat="false" ht="15" hidden="false" customHeight="false" outlineLevel="0" collapsed="false">
      <c r="A2" s="7" t="s">
        <v>124</v>
      </c>
    </row>
    <row r="4" customFormat="false" ht="33.75" hidden="false" customHeight="true" outlineLevel="0" collapsed="false">
      <c r="A4" s="8" t="s">
        <v>125</v>
      </c>
      <c r="B4" s="8" t="s">
        <v>126</v>
      </c>
      <c r="C4" s="8" t="s">
        <v>46</v>
      </c>
      <c r="D4" s="8" t="s">
        <v>58</v>
      </c>
      <c r="E4" s="8" t="s">
        <v>127</v>
      </c>
      <c r="F4" s="8" t="s">
        <v>128</v>
      </c>
      <c r="G4" s="8" t="s">
        <v>129</v>
      </c>
      <c r="H4" s="8" t="s">
        <v>130</v>
      </c>
      <c r="I4" s="8" t="s">
        <v>131</v>
      </c>
      <c r="J4" s="8" t="s">
        <v>132</v>
      </c>
      <c r="K4" s="8" t="s">
        <v>133</v>
      </c>
      <c r="L4" s="8" t="s">
        <v>134</v>
      </c>
      <c r="M4" s="8" t="s">
        <v>135</v>
      </c>
      <c r="N4" s="8" t="s">
        <v>136</v>
      </c>
      <c r="O4" s="8" t="s">
        <v>137</v>
      </c>
      <c r="P4" s="8" t="s">
        <v>138</v>
      </c>
      <c r="Q4" s="8" t="s">
        <v>139</v>
      </c>
      <c r="R4" s="8" t="s">
        <v>140</v>
      </c>
    </row>
    <row r="5" customFormat="false" ht="15" hidden="false" customHeight="false" outlineLevel="0" collapsed="false">
      <c r="A5" s="6" t="s">
        <v>141</v>
      </c>
      <c r="B5" s="6" t="n">
        <v>0</v>
      </c>
      <c r="C5" s="6" t="n">
        <v>0.2</v>
      </c>
      <c r="D5" s="6" t="n">
        <v>0.1</v>
      </c>
      <c r="E5" s="9" t="n">
        <f aca="false">IF(C5="","",MIN(1,Parameters!$E$4+Parameters!$E$5*D5))</f>
        <v>0.46</v>
      </c>
      <c r="F5" s="9" t="n">
        <f aca="false">IF(C5="","",MIN(1,Parameters!$E$6+Parameters!$E$7*C5))</f>
        <v>0.26</v>
      </c>
      <c r="G5" s="11" t="n">
        <f aca="false">IF(C5="","",Parameters!$E$8*MAX(E5-C5,0))</f>
        <v>0.078</v>
      </c>
      <c r="H5" s="11" t="n">
        <f aca="false">IF(C5="","",Parameters!$E$9*(1-C5))</f>
        <v>0.08</v>
      </c>
      <c r="I5" s="11" t="n">
        <f aca="false">IF(C5="","",Parameters!$E$12*(1-C5))</f>
        <v>0.028</v>
      </c>
      <c r="J5" s="9" t="n">
        <f aca="false">IF(C5="","",Parameters!$E$13*(1-C5)^2)</f>
        <v>0.032</v>
      </c>
      <c r="K5" s="9" t="n">
        <f aca="false">IF(C5="","",Parameters!$E$14*(1-C5)^2)</f>
        <v>0.96</v>
      </c>
      <c r="L5" s="11" t="n">
        <f aca="false">IF(C5="","",G5)</f>
        <v>0.078</v>
      </c>
      <c r="M5" s="11" t="n">
        <f aca="false">IF(C5="","",H5-J5*Parameters!$E$15)</f>
        <v>0.07808</v>
      </c>
      <c r="N5" s="11" t="n">
        <f aca="false">IF(C5="","",I5-K5*Parameters!$E$15)</f>
        <v>-0.0296</v>
      </c>
      <c r="O5" s="20" t="str">
        <f aca="false">IF(C5="","",IF(AND(C5&gt;=Parameters!$E$20,D5&gt;=Parameters!$E$21),"done",IF(AND(D5&lt;Parameters!$E$21,C5&gt;=Parameters!$E$27,K5&lt;=Parameters!$E$22),"3",IF(AND(C5&gt;=Parameters!$E$20,C5&gt;=Parameters!$E$27,K5&lt;=Parameters!$E$22),"3",IF(AND(C5&gt;=Parameters!$E$27,K5&gt;Parameters!$E$22),"3b/4","4")))))</f>
        <v>4</v>
      </c>
      <c r="P5" s="21" t="str">
        <f aca="false">IF(C5="","",IF(O5="done","Target region reached: decision checkpoint",IF(O5="3","T  integrated test",IF(MAX(L5:N5)=L5,"S  simulation / analysis",IF(MAX(L5:N5)=M5,"E  separate-effects test","T  integrated test (to learn)")))))</f>
        <v>E  separate-effects test</v>
      </c>
      <c r="Q5" s="22" t="n">
        <f aca="false">IF(C5="","",1-EXP(-K5*Parameters!$E$23))</f>
        <v>0.85339303786965</v>
      </c>
      <c r="R5" s="23" t="n">
        <f aca="false">IF(B5="","",Parameters!$E$24-B5)</f>
        <v>30</v>
      </c>
    </row>
    <row r="6" customFormat="false" ht="15" hidden="false" customHeight="false" outlineLevel="0" collapsed="false">
      <c r="A6" s="6" t="s">
        <v>142</v>
      </c>
      <c r="B6" s="6" t="n">
        <v>4</v>
      </c>
      <c r="C6" s="6" t="n">
        <v>0.465</v>
      </c>
      <c r="D6" s="6" t="n">
        <v>0.156</v>
      </c>
      <c r="E6" s="9" t="n">
        <f aca="false">IF(C6="","",MIN(1,Parameters!$E$4+Parameters!$E$5*D6))</f>
        <v>0.4936</v>
      </c>
      <c r="F6" s="9" t="n">
        <f aca="false">IF(C6="","",MIN(1,Parameters!$E$6+Parameters!$E$7*C6))</f>
        <v>0.53825</v>
      </c>
      <c r="G6" s="11" t="n">
        <f aca="false">IF(C6="","",Parameters!$E$8*MAX(E6-C6,0))</f>
        <v>0.00858</v>
      </c>
      <c r="H6" s="11" t="n">
        <f aca="false">IF(C6="","",Parameters!$E$9*(1-C6))</f>
        <v>0.0535</v>
      </c>
      <c r="I6" s="11" t="n">
        <f aca="false">IF(C6="","",Parameters!$E$12*(1-C6))</f>
        <v>0.018725</v>
      </c>
      <c r="J6" s="9" t="n">
        <f aca="false">IF(C6="","",Parameters!$E$13*(1-C6)^2)</f>
        <v>0.01431125</v>
      </c>
      <c r="K6" s="9" t="n">
        <f aca="false">IF(C6="","",Parameters!$E$14*(1-C6)^2)</f>
        <v>0.4293375</v>
      </c>
      <c r="L6" s="11" t="n">
        <f aca="false">IF(C6="","",G6)</f>
        <v>0.00858</v>
      </c>
      <c r="M6" s="11" t="n">
        <f aca="false">IF(C6="","",H6-J6*Parameters!$E$15)</f>
        <v>0.052641325</v>
      </c>
      <c r="N6" s="11" t="n">
        <f aca="false">IF(C6="","",I6-K6*Parameters!$E$15)</f>
        <v>-0.00703524999999999</v>
      </c>
      <c r="O6" s="20" t="str">
        <f aca="false">IF(C6="","",IF(AND(C6&gt;=Parameters!$E$20,D6&gt;=Parameters!$E$21),"done",IF(AND(D6&lt;Parameters!$E$21,C6&gt;=Parameters!$E$27,K6&lt;=Parameters!$E$22),"3",IF(AND(C6&gt;=Parameters!$E$20,C6&gt;=Parameters!$E$27,K6&lt;=Parameters!$E$22),"3",IF(AND(C6&gt;=Parameters!$E$27,K6&gt;Parameters!$E$22),"3b/4","4")))))</f>
        <v>4</v>
      </c>
      <c r="P6" s="21" t="str">
        <f aca="false">IF(C6="","",IF(O6="done","Target region reached: decision checkpoint",IF(O6="3","T  integrated test",IF(MAX(L6:N6)=L6,"S  simulation / analysis",IF(MAX(L6:N6)=M6,"E  separate-effects test","T  integrated test (to learn)")))))</f>
        <v>E  separate-effects test</v>
      </c>
      <c r="Q6" s="22" t="n">
        <f aca="false">IF(C6="","",1-EXP(-K6*Parameters!$E$23))</f>
        <v>0.5762768563021</v>
      </c>
      <c r="R6" s="23" t="n">
        <f aca="false">IF(B6="","",Parameters!$E$24-B6)</f>
        <v>26</v>
      </c>
    </row>
    <row r="7" customFormat="false" ht="15" hidden="false" customHeight="false" outlineLevel="0" collapsed="false">
      <c r="A7" s="6" t="s">
        <v>143</v>
      </c>
      <c r="B7" s="6" t="n">
        <v>8</v>
      </c>
      <c r="C7" s="6" t="n">
        <v>0.642</v>
      </c>
      <c r="D7" s="6" t="n">
        <v>0.244</v>
      </c>
      <c r="E7" s="9" t="n">
        <f aca="false">IF(C7="","",MIN(1,Parameters!$E$4+Parameters!$E$5*D7))</f>
        <v>0.5464</v>
      </c>
      <c r="F7" s="9" t="n">
        <f aca="false">IF(C7="","",MIN(1,Parameters!$E$6+Parameters!$E$7*C7))</f>
        <v>0.7241</v>
      </c>
      <c r="G7" s="11" t="n">
        <f aca="false">IF(C7="","",Parameters!$E$8*MAX(E7-C7,0))</f>
        <v>0</v>
      </c>
      <c r="H7" s="11" t="n">
        <f aca="false">IF(C7="","",Parameters!$E$9*(1-C7))</f>
        <v>0.0358</v>
      </c>
      <c r="I7" s="11" t="n">
        <f aca="false">IF(C7="","",Parameters!$E$12*(1-C7))</f>
        <v>0.01253</v>
      </c>
      <c r="J7" s="9" t="n">
        <f aca="false">IF(C7="","",Parameters!$E$13*(1-C7)^2)</f>
        <v>0.0064082</v>
      </c>
      <c r="K7" s="9" t="n">
        <f aca="false">IF(C7="","",Parameters!$E$14*(1-C7)^2)</f>
        <v>0.192246</v>
      </c>
      <c r="L7" s="11" t="n">
        <f aca="false">IF(C7="","",G7)</f>
        <v>0</v>
      </c>
      <c r="M7" s="11" t="n">
        <f aca="false">IF(C7="","",H7-J7*Parameters!$E$15)</f>
        <v>0.035415508</v>
      </c>
      <c r="N7" s="11" t="n">
        <f aca="false">IF(C7="","",I7-K7*Parameters!$E$15)</f>
        <v>0.000995240000000001</v>
      </c>
      <c r="O7" s="20" t="str">
        <f aca="false">IF(C7="","",IF(AND(C7&gt;=Parameters!$E$20,D7&gt;=Parameters!$E$21),"done",IF(AND(D7&lt;Parameters!$E$21,C7&gt;=Parameters!$E$27,K7&lt;=Parameters!$E$22),"3",IF(AND(C7&gt;=Parameters!$E$20,C7&gt;=Parameters!$E$27,K7&lt;=Parameters!$E$22),"3",IF(AND(C7&gt;=Parameters!$E$27,K7&gt;Parameters!$E$22),"3b/4","4")))))</f>
        <v>4</v>
      </c>
      <c r="P7" s="21" t="str">
        <f aca="false">IF(C7="","",IF(O7="done","Target region reached: decision checkpoint",IF(O7="3","T  integrated test",IF(MAX(L7:N7)=L7,"S  simulation / analysis",IF(MAX(L7:N7)=M7,"E  separate-effects test","T  integrated test (to learn)")))))</f>
        <v>E  separate-effects test</v>
      </c>
      <c r="Q7" s="22" t="n">
        <f aca="false">IF(C7="","",1-EXP(-K7*Parameters!$E$23))</f>
        <v>0.319203607057445</v>
      </c>
      <c r="R7" s="23" t="n">
        <f aca="false">IF(B7="","",Parameters!$E$24-B7)</f>
        <v>22</v>
      </c>
    </row>
    <row r="8" customFormat="false" ht="15" hidden="false" customHeight="false" outlineLevel="0" collapsed="false">
      <c r="A8" s="6" t="s">
        <v>144</v>
      </c>
      <c r="B8" s="6" t="n">
        <v>12</v>
      </c>
      <c r="C8" s="6" t="n">
        <v>0.76</v>
      </c>
      <c r="D8" s="6" t="n">
        <v>0.343</v>
      </c>
      <c r="E8" s="9" t="n">
        <f aca="false">IF(C8="","",MIN(1,Parameters!$E$4+Parameters!$E$5*D8))</f>
        <v>0.6058</v>
      </c>
      <c r="F8" s="9" t="n">
        <f aca="false">IF(C8="","",MIN(1,Parameters!$E$6+Parameters!$E$7*C8))</f>
        <v>0.848</v>
      </c>
      <c r="G8" s="11" t="n">
        <f aca="false">IF(C8="","",Parameters!$E$8*MAX(E8-C8,0))</f>
        <v>0</v>
      </c>
      <c r="H8" s="11" t="n">
        <f aca="false">IF(C8="","",Parameters!$E$9*(1-C8))</f>
        <v>0.024</v>
      </c>
      <c r="I8" s="11" t="n">
        <f aca="false">IF(C8="","",Parameters!$E$12*(1-C8))</f>
        <v>0.0084</v>
      </c>
      <c r="J8" s="9" t="n">
        <f aca="false">IF(C8="","",Parameters!$E$13*(1-C8)^2)</f>
        <v>0.00288</v>
      </c>
      <c r="K8" s="9" t="n">
        <f aca="false">IF(C8="","",Parameters!$E$14*(1-C8)^2)</f>
        <v>0.0864</v>
      </c>
      <c r="L8" s="11" t="n">
        <f aca="false">IF(C8="","",G8)</f>
        <v>0</v>
      </c>
      <c r="M8" s="11" t="n">
        <f aca="false">IF(C8="","",H8-J8*Parameters!$E$15)</f>
        <v>0.0238272</v>
      </c>
      <c r="N8" s="11" t="n">
        <f aca="false">IF(C8="","",I8-K8*Parameters!$E$15)</f>
        <v>0.003216</v>
      </c>
      <c r="O8" s="20" t="str">
        <f aca="false">IF(C8="","",IF(AND(C8&gt;=Parameters!$E$20,D8&gt;=Parameters!$E$21),"done",IF(AND(D8&lt;Parameters!$E$21,C8&gt;=Parameters!$E$27,K8&lt;=Parameters!$E$22),"3",IF(AND(C8&gt;=Parameters!$E$20,C8&gt;=Parameters!$E$27,K8&lt;=Parameters!$E$22),"3",IF(AND(C8&gt;=Parameters!$E$27,K8&gt;Parameters!$E$22),"3b/4","4")))))</f>
        <v>3b/4</v>
      </c>
      <c r="P8" s="21" t="str">
        <f aca="false">IF(C8="","",IF(O8="done","Target region reached: decision checkpoint",IF(O8="3","T  integrated test",IF(MAX(L8:N8)=L8,"S  simulation / analysis",IF(MAX(L8:N8)=M8,"E  separate-effects test","T  integrated test (to learn)")))))</f>
        <v>E  separate-effects test</v>
      </c>
      <c r="Q8" s="22" t="n">
        <f aca="false">IF(C8="","",1-EXP(-K8*Parameters!$E$23))</f>
        <v>0.158694140808534</v>
      </c>
      <c r="R8" s="23" t="n">
        <f aca="false">IF(B8="","",Parameters!$E$24-B8)</f>
        <v>18</v>
      </c>
    </row>
    <row r="9" customFormat="false" ht="15" hidden="false" customHeight="false" outlineLevel="0" collapsed="false">
      <c r="A9" s="6" t="s">
        <v>145</v>
      </c>
      <c r="B9" s="6" t="n">
        <v>14.8</v>
      </c>
      <c r="C9" s="6" t="n">
        <v>0.819</v>
      </c>
      <c r="D9" s="6" t="n">
        <v>0.414</v>
      </c>
      <c r="E9" s="9" t="n">
        <f aca="false">IF(C9="","",MIN(1,Parameters!$E$4+Parameters!$E$5*D9))</f>
        <v>0.6484</v>
      </c>
      <c r="F9" s="9" t="n">
        <f aca="false">IF(C9="","",MIN(1,Parameters!$E$6+Parameters!$E$7*C9))</f>
        <v>0.90995</v>
      </c>
      <c r="G9" s="11" t="n">
        <f aca="false">IF(C9="","",Parameters!$E$8*MAX(E9-C9,0))</f>
        <v>0</v>
      </c>
      <c r="H9" s="11" t="n">
        <f aca="false">IF(C9="","",Parameters!$E$9*(1-C9))</f>
        <v>0.0181</v>
      </c>
      <c r="I9" s="11" t="n">
        <f aca="false">IF(C9="","",Parameters!$E$12*(1-C9))</f>
        <v>0.006335</v>
      </c>
      <c r="J9" s="9" t="n">
        <f aca="false">IF(C9="","",Parameters!$E$13*(1-C9)^2)</f>
        <v>0.00163805</v>
      </c>
      <c r="K9" s="9" t="n">
        <f aca="false">IF(C9="","",Parameters!$E$14*(1-C9)^2)</f>
        <v>0.0491415</v>
      </c>
      <c r="L9" s="11" t="n">
        <f aca="false">IF(C9="","",G9)</f>
        <v>0</v>
      </c>
      <c r="M9" s="11" t="n">
        <f aca="false">IF(C9="","",H9-J9*Parameters!$E$15)</f>
        <v>0.018001717</v>
      </c>
      <c r="N9" s="11" t="n">
        <f aca="false">IF(C9="","",I9-K9*Parameters!$E$15)</f>
        <v>0.00338651</v>
      </c>
      <c r="O9" s="20" t="str">
        <f aca="false">IF(C9="","",IF(AND(C9&gt;=Parameters!$E$20,D9&gt;=Parameters!$E$21),"done",IF(AND(D9&lt;Parameters!$E$21,C9&gt;=Parameters!$E$27,K9&lt;=Parameters!$E$22),"3",IF(AND(C9&gt;=Parameters!$E$20,C9&gt;=Parameters!$E$27,K9&lt;=Parameters!$E$22),"3",IF(AND(C9&gt;=Parameters!$E$27,K9&gt;Parameters!$E$22),"3b/4","4")))))</f>
        <v>3</v>
      </c>
      <c r="P9" s="21" t="str">
        <f aca="false">IF(C9="","",IF(O9="done","Target region reached: decision checkpoint",IF(O9="3","T  integrated test",IF(MAX(L9:N9)=L9,"S  simulation / analysis",IF(MAX(L9:N9)=M9,"E  separate-effects test","T  integrated test (to learn)")))))</f>
        <v>T  integrated test</v>
      </c>
      <c r="Q9" s="22" t="n">
        <f aca="false">IF(C9="","",1-EXP(-K9*Parameters!$E$23))</f>
        <v>0.0936076415829641</v>
      </c>
      <c r="R9" s="23" t="n">
        <f aca="false">IF(B9="","",Parameters!$E$24-B9)</f>
        <v>15.2</v>
      </c>
    </row>
    <row r="10" customFormat="false" ht="15" hidden="false" customHeight="false" outlineLevel="0" collapsed="false">
      <c r="A10" s="6" t="s">
        <v>146</v>
      </c>
      <c r="B10" s="6" t="n">
        <v>18</v>
      </c>
      <c r="C10" s="6" t="n">
        <v>0.838</v>
      </c>
      <c r="D10" s="6" t="n">
        <v>0.688</v>
      </c>
      <c r="E10" s="9" t="n">
        <f aca="false">IF(C10="","",MIN(1,Parameters!$E$4+Parameters!$E$5*D10))</f>
        <v>0.8128</v>
      </c>
      <c r="F10" s="9" t="n">
        <f aca="false">IF(C10="","",MIN(1,Parameters!$E$6+Parameters!$E$7*C10))</f>
        <v>0.9299</v>
      </c>
      <c r="G10" s="11" t="n">
        <f aca="false">IF(C10="","",Parameters!$E$8*MAX(E10-C10,0))</f>
        <v>0</v>
      </c>
      <c r="H10" s="11" t="n">
        <f aca="false">IF(C10="","",Parameters!$E$9*(1-C10))</f>
        <v>0.0162</v>
      </c>
      <c r="I10" s="11" t="n">
        <f aca="false">IF(C10="","",Parameters!$E$12*(1-C10))</f>
        <v>0.00567</v>
      </c>
      <c r="J10" s="9" t="n">
        <f aca="false">IF(C10="","",Parameters!$E$13*(1-C10)^2)</f>
        <v>0.0013122</v>
      </c>
      <c r="K10" s="9" t="n">
        <f aca="false">IF(C10="","",Parameters!$E$14*(1-C10)^2)</f>
        <v>0.039366</v>
      </c>
      <c r="L10" s="11" t="n">
        <f aca="false">IF(C10="","",G10)</f>
        <v>0</v>
      </c>
      <c r="M10" s="11" t="n">
        <f aca="false">IF(C10="","",H10-J10*Parameters!$E$15)</f>
        <v>0.016121268</v>
      </c>
      <c r="N10" s="11" t="n">
        <f aca="false">IF(C10="","",I10-K10*Parameters!$E$15)</f>
        <v>0.00330804</v>
      </c>
      <c r="O10" s="20" t="str">
        <f aca="false">IF(C10="","",IF(AND(C10&gt;=Parameters!$E$20,D10&gt;=Parameters!$E$21),"done",IF(AND(D10&lt;Parameters!$E$21,C10&gt;=Parameters!$E$27,K10&lt;=Parameters!$E$22),"3",IF(AND(C10&gt;=Parameters!$E$20,C10&gt;=Parameters!$E$27,K10&lt;=Parameters!$E$22),"3",IF(AND(C10&gt;=Parameters!$E$27,K10&gt;Parameters!$E$22),"3b/4","4")))))</f>
        <v>3</v>
      </c>
      <c r="P10" s="21" t="str">
        <f aca="false">IF(C10="","",IF(O10="done","Target region reached: decision checkpoint",IF(O10="3","T  integrated test",IF(MAX(L10:N10)=L10,"S  simulation / analysis",IF(MAX(L10:N10)=M10,"E  separate-effects test","T  integrated test (to learn)")))))</f>
        <v>T  integrated test</v>
      </c>
      <c r="Q10" s="22" t="n">
        <f aca="false">IF(C10="","",1-EXP(-K10*Parameters!$E$23))</f>
        <v>0.0757123996680755</v>
      </c>
      <c r="R10" s="23" t="n">
        <f aca="false">IF(B10="","",Parameters!$E$24-B10)</f>
        <v>12</v>
      </c>
    </row>
    <row r="11" customFormat="false" ht="15" hidden="false" customHeight="false" outlineLevel="0" collapsed="false">
      <c r="A11" s="6" t="s">
        <v>147</v>
      </c>
      <c r="B11" s="6" t="n">
        <v>20.4</v>
      </c>
      <c r="C11" s="6" t="n">
        <v>0.85</v>
      </c>
      <c r="D11" s="6" t="n">
        <v>0.8</v>
      </c>
      <c r="E11" s="9" t="n">
        <f aca="false">IF(C11="","",MIN(1,Parameters!$E$4+Parameters!$E$5*D11))</f>
        <v>0.88</v>
      </c>
      <c r="F11" s="9" t="n">
        <f aca="false">IF(C11="","",MIN(1,Parameters!$E$6+Parameters!$E$7*C11))</f>
        <v>0.9425</v>
      </c>
      <c r="G11" s="11" t="n">
        <f aca="false">IF(C11="","",Parameters!$E$8*MAX(E11-C11,0))</f>
        <v>0.00900000000000001</v>
      </c>
      <c r="H11" s="11" t="n">
        <f aca="false">IF(C11="","",Parameters!$E$9*(1-C11))</f>
        <v>0.015</v>
      </c>
      <c r="I11" s="11" t="n">
        <f aca="false">IF(C11="","",Parameters!$E$12*(1-C11))</f>
        <v>0.00525</v>
      </c>
      <c r="J11" s="9" t="n">
        <f aca="false">IF(C11="","",Parameters!$E$13*(1-C11)^2)</f>
        <v>0.001125</v>
      </c>
      <c r="K11" s="9" t="n">
        <f aca="false">IF(C11="","",Parameters!$E$14*(1-C11)^2)</f>
        <v>0.03375</v>
      </c>
      <c r="L11" s="11" t="n">
        <f aca="false">IF(C11="","",G11)</f>
        <v>0.00900000000000001</v>
      </c>
      <c r="M11" s="11" t="n">
        <f aca="false">IF(C11="","",H11-J11*Parameters!$E$15)</f>
        <v>0.0149325</v>
      </c>
      <c r="N11" s="11" t="n">
        <f aca="false">IF(C11="","",I11-K11*Parameters!$E$15)</f>
        <v>0.003225</v>
      </c>
      <c r="O11" s="20" t="str">
        <f aca="false">IF(C11="","",IF(AND(C11&gt;=Parameters!$E$20,D11&gt;=Parameters!$E$21),"done",IF(AND(D11&lt;Parameters!$E$21,C11&gt;=Parameters!$E$27,K11&lt;=Parameters!$E$22),"3",IF(AND(C11&gt;=Parameters!$E$20,C11&gt;=Parameters!$E$27,K11&lt;=Parameters!$E$22),"3",IF(AND(C11&gt;=Parameters!$E$27,K11&gt;Parameters!$E$22),"3b/4","4")))))</f>
        <v>done</v>
      </c>
      <c r="P11" s="21" t="str">
        <f aca="false">IF(C11="","",IF(O11="done","Target region reached: decision checkpoint",IF(O11="3","T  integrated test",IF(MAX(L11:N11)=L11,"S  simulation / analysis",IF(MAX(L11:N11)=M11,"E  separate-effects test","T  integrated test (to learn)")))))</f>
        <v>Target region reached: decision checkpoint</v>
      </c>
      <c r="Q11" s="22" t="n">
        <f aca="false">IF(C11="","",1-EXP(-K11*Parameters!$E$23))</f>
        <v>0.0652722793839725</v>
      </c>
      <c r="R11" s="23" t="n">
        <f aca="false">IF(B11="","",Parameters!$E$24-B11)</f>
        <v>9.6</v>
      </c>
    </row>
    <row r="12" customFormat="false" ht="15" hidden="false" customHeight="false" outlineLevel="0" collapsed="false">
      <c r="A12" s="6"/>
      <c r="B12" s="6"/>
      <c r="C12" s="6"/>
      <c r="D12" s="6"/>
      <c r="E12" s="9" t="str">
        <f aca="false">IF(C12="","",MIN(1,Parameters!$E$4+Parameters!$E$5*D12))</f>
        <v/>
      </c>
      <c r="F12" s="9" t="str">
        <f aca="false">IF(C12="","",MIN(1,Parameters!$E$6+Parameters!$E$7*C12))</f>
        <v/>
      </c>
      <c r="G12" s="11" t="str">
        <f aca="false">IF(C12="","",Parameters!$E$8*MAX(E12-C12,0))</f>
        <v/>
      </c>
      <c r="H12" s="11" t="str">
        <f aca="false">IF(C12="","",Parameters!$E$9*(1-C12))</f>
        <v/>
      </c>
      <c r="I12" s="11" t="str">
        <f aca="false">IF(C12="","",Parameters!$E$12*(1-C12))</f>
        <v/>
      </c>
      <c r="J12" s="9" t="str">
        <f aca="false">IF(C12="","",Parameters!$E$13*(1-C12)^2)</f>
        <v/>
      </c>
      <c r="K12" s="9" t="str">
        <f aca="false">IF(C12="","",Parameters!$E$14*(1-C12)^2)</f>
        <v/>
      </c>
      <c r="L12" s="11" t="str">
        <f aca="false">IF(C12="","",G12)</f>
        <v/>
      </c>
      <c r="M12" s="11" t="str">
        <f aca="false">IF(C12="","",H12-J12*Parameters!$E$15)</f>
        <v/>
      </c>
      <c r="N12" s="11" t="str">
        <f aca="false">IF(C12="","",I12-K12*Parameters!$E$15)</f>
        <v/>
      </c>
      <c r="O12" s="20" t="str">
        <f aca="false">IF(C12="","",IF(AND(C12&gt;=Parameters!$E$20,D12&gt;=Parameters!$E$21),"done",IF(AND(D12&lt;Parameters!$E$21,C12&gt;=Parameters!$E$27,K12&lt;=Parameters!$E$22),"3",IF(AND(C12&gt;=Parameters!$E$20,C12&gt;=Parameters!$E$27,K12&lt;=Parameters!$E$22),"3",IF(AND(C12&gt;=Parameters!$E$27,K12&gt;Parameters!$E$22),"3b/4","4")))))</f>
        <v/>
      </c>
      <c r="P12" s="21" t="str">
        <f aca="false">IF(C12="","",IF(O12="done","Target region reached: decision checkpoint",IF(O12="3","T  integrated test",IF(MAX(L12:N12)=L12,"S  simulation / analysis",IF(MAX(L12:N12)=M12,"E  separate-effects test","T  integrated test (to learn)")))))</f>
        <v/>
      </c>
      <c r="Q12" s="22" t="str">
        <f aca="false">IF(C12="","",1-EXP(-K12*Parameters!$E$23))</f>
        <v/>
      </c>
      <c r="R12" s="23" t="str">
        <f aca="false">IF(B12="","",Parameters!$E$24-B12)</f>
        <v/>
      </c>
    </row>
    <row r="13" customFormat="false" ht="15" hidden="false" customHeight="false" outlineLevel="0" collapsed="false">
      <c r="A13" s="6"/>
      <c r="B13" s="6"/>
      <c r="C13" s="6"/>
      <c r="D13" s="6"/>
      <c r="E13" s="9" t="str">
        <f aca="false">IF(C13="","",MIN(1,Parameters!$E$4+Parameters!$E$5*D13))</f>
        <v/>
      </c>
      <c r="F13" s="9" t="str">
        <f aca="false">IF(C13="","",MIN(1,Parameters!$E$6+Parameters!$E$7*C13))</f>
        <v/>
      </c>
      <c r="G13" s="11" t="str">
        <f aca="false">IF(C13="","",Parameters!$E$8*MAX(E13-C13,0))</f>
        <v/>
      </c>
      <c r="H13" s="11" t="str">
        <f aca="false">IF(C13="","",Parameters!$E$9*(1-C13))</f>
        <v/>
      </c>
      <c r="I13" s="11" t="str">
        <f aca="false">IF(C13="","",Parameters!$E$12*(1-C13))</f>
        <v/>
      </c>
      <c r="J13" s="9" t="str">
        <f aca="false">IF(C13="","",Parameters!$E$13*(1-C13)^2)</f>
        <v/>
      </c>
      <c r="K13" s="9" t="str">
        <f aca="false">IF(C13="","",Parameters!$E$14*(1-C13)^2)</f>
        <v/>
      </c>
      <c r="L13" s="11" t="str">
        <f aca="false">IF(C13="","",G13)</f>
        <v/>
      </c>
      <c r="M13" s="11" t="str">
        <f aca="false">IF(C13="","",H13-J13*Parameters!$E$15)</f>
        <v/>
      </c>
      <c r="N13" s="11" t="str">
        <f aca="false">IF(C13="","",I13-K13*Parameters!$E$15)</f>
        <v/>
      </c>
      <c r="O13" s="20" t="str">
        <f aca="false">IF(C13="","",IF(AND(C13&gt;=Parameters!$E$20,D13&gt;=Parameters!$E$21),"done",IF(AND(D13&lt;Parameters!$E$21,C13&gt;=Parameters!$E$27,K13&lt;=Parameters!$E$22),"3",IF(AND(C13&gt;=Parameters!$E$20,C13&gt;=Parameters!$E$27,K13&lt;=Parameters!$E$22),"3",IF(AND(C13&gt;=Parameters!$E$27,K13&gt;Parameters!$E$22),"3b/4","4")))))</f>
        <v/>
      </c>
      <c r="P13" s="21" t="str">
        <f aca="false">IF(C13="","",IF(O13="done","Target region reached: decision checkpoint",IF(O13="3","T  integrated test",IF(MAX(L13:N13)=L13,"S  simulation / analysis",IF(MAX(L13:N13)=M13,"E  separate-effects test","T  integrated test (to learn)")))))</f>
        <v/>
      </c>
      <c r="Q13" s="22" t="str">
        <f aca="false">IF(C13="","",1-EXP(-K13*Parameters!$E$23))</f>
        <v/>
      </c>
      <c r="R13" s="23" t="str">
        <f aca="false">IF(B13="","",Parameters!$E$24-B13)</f>
        <v/>
      </c>
    </row>
    <row r="14" customFormat="false" ht="15" hidden="false" customHeight="false" outlineLevel="0" collapsed="false">
      <c r="A14" s="6"/>
      <c r="B14" s="6"/>
      <c r="C14" s="6"/>
      <c r="D14" s="6"/>
      <c r="E14" s="9" t="str">
        <f aca="false">IF(C14="","",MIN(1,Parameters!$E$4+Parameters!$E$5*D14))</f>
        <v/>
      </c>
      <c r="F14" s="9" t="str">
        <f aca="false">IF(C14="","",MIN(1,Parameters!$E$6+Parameters!$E$7*C14))</f>
        <v/>
      </c>
      <c r="G14" s="11" t="str">
        <f aca="false">IF(C14="","",Parameters!$E$8*MAX(E14-C14,0))</f>
        <v/>
      </c>
      <c r="H14" s="11" t="str">
        <f aca="false">IF(C14="","",Parameters!$E$9*(1-C14))</f>
        <v/>
      </c>
      <c r="I14" s="11" t="str">
        <f aca="false">IF(C14="","",Parameters!$E$12*(1-C14))</f>
        <v/>
      </c>
      <c r="J14" s="9" t="str">
        <f aca="false">IF(C14="","",Parameters!$E$13*(1-C14)^2)</f>
        <v/>
      </c>
      <c r="K14" s="9" t="str">
        <f aca="false">IF(C14="","",Parameters!$E$14*(1-C14)^2)</f>
        <v/>
      </c>
      <c r="L14" s="11" t="str">
        <f aca="false">IF(C14="","",G14)</f>
        <v/>
      </c>
      <c r="M14" s="11" t="str">
        <f aca="false">IF(C14="","",H14-J14*Parameters!$E$15)</f>
        <v/>
      </c>
      <c r="N14" s="11" t="str">
        <f aca="false">IF(C14="","",I14-K14*Parameters!$E$15)</f>
        <v/>
      </c>
      <c r="O14" s="20" t="str">
        <f aca="false">IF(C14="","",IF(AND(C14&gt;=Parameters!$E$20,D14&gt;=Parameters!$E$21),"done",IF(AND(D14&lt;Parameters!$E$21,C14&gt;=Parameters!$E$27,K14&lt;=Parameters!$E$22),"3",IF(AND(C14&gt;=Parameters!$E$20,C14&gt;=Parameters!$E$27,K14&lt;=Parameters!$E$22),"3",IF(AND(C14&gt;=Parameters!$E$27,K14&gt;Parameters!$E$22),"3b/4","4")))))</f>
        <v/>
      </c>
      <c r="P14" s="21" t="str">
        <f aca="false">IF(C14="","",IF(O14="done","Target region reached: decision checkpoint",IF(O14="3","T  integrated test",IF(MAX(L14:N14)=L14,"S  simulation / analysis",IF(MAX(L14:N14)=M14,"E  separate-effects test","T  integrated test (to learn)")))))</f>
        <v/>
      </c>
      <c r="Q14" s="22" t="str">
        <f aca="false">IF(C14="","",1-EXP(-K14*Parameters!$E$23))</f>
        <v/>
      </c>
      <c r="R14" s="23" t="str">
        <f aca="false">IF(B14="","",Parameters!$E$24-B14)</f>
        <v/>
      </c>
    </row>
    <row r="15" customFormat="false" ht="15" hidden="false" customHeight="false" outlineLevel="0" collapsed="false">
      <c r="A15" s="6"/>
      <c r="B15" s="6"/>
      <c r="C15" s="6"/>
      <c r="D15" s="6"/>
      <c r="E15" s="9" t="str">
        <f aca="false">IF(C15="","",MIN(1,Parameters!$E$4+Parameters!$E$5*D15))</f>
        <v/>
      </c>
      <c r="F15" s="9" t="str">
        <f aca="false">IF(C15="","",MIN(1,Parameters!$E$6+Parameters!$E$7*C15))</f>
        <v/>
      </c>
      <c r="G15" s="11" t="str">
        <f aca="false">IF(C15="","",Parameters!$E$8*MAX(E15-C15,0))</f>
        <v/>
      </c>
      <c r="H15" s="11" t="str">
        <f aca="false">IF(C15="","",Parameters!$E$9*(1-C15))</f>
        <v/>
      </c>
      <c r="I15" s="11" t="str">
        <f aca="false">IF(C15="","",Parameters!$E$12*(1-C15))</f>
        <v/>
      </c>
      <c r="J15" s="9" t="str">
        <f aca="false">IF(C15="","",Parameters!$E$13*(1-C15)^2)</f>
        <v/>
      </c>
      <c r="K15" s="9" t="str">
        <f aca="false">IF(C15="","",Parameters!$E$14*(1-C15)^2)</f>
        <v/>
      </c>
      <c r="L15" s="11" t="str">
        <f aca="false">IF(C15="","",G15)</f>
        <v/>
      </c>
      <c r="M15" s="11" t="str">
        <f aca="false">IF(C15="","",H15-J15*Parameters!$E$15)</f>
        <v/>
      </c>
      <c r="N15" s="11" t="str">
        <f aca="false">IF(C15="","",I15-K15*Parameters!$E$15)</f>
        <v/>
      </c>
      <c r="O15" s="20" t="str">
        <f aca="false">IF(C15="","",IF(AND(C15&gt;=Parameters!$E$20,D15&gt;=Parameters!$E$21),"done",IF(AND(D15&lt;Parameters!$E$21,C15&gt;=Parameters!$E$27,K15&lt;=Parameters!$E$22),"3",IF(AND(C15&gt;=Parameters!$E$20,C15&gt;=Parameters!$E$27,K15&lt;=Parameters!$E$22),"3",IF(AND(C15&gt;=Parameters!$E$27,K15&gt;Parameters!$E$22),"3b/4","4")))))</f>
        <v/>
      </c>
      <c r="P15" s="21" t="str">
        <f aca="false">IF(C15="","",IF(O15="done","Target region reached: decision checkpoint",IF(O15="3","T  integrated test",IF(MAX(L15:N15)=L15,"S  simulation / analysis",IF(MAX(L15:N15)=M15,"E  separate-effects test","T  integrated test (to learn)")))))</f>
        <v/>
      </c>
      <c r="Q15" s="22" t="str">
        <f aca="false">IF(C15="","",1-EXP(-K15*Parameters!$E$23))</f>
        <v/>
      </c>
      <c r="R15" s="23" t="str">
        <f aca="false">IF(B15="","",Parameters!$E$24-B15)</f>
        <v/>
      </c>
    </row>
    <row r="16" customFormat="false" ht="15" hidden="false" customHeight="false" outlineLevel="0" collapsed="false">
      <c r="A16" s="6"/>
      <c r="B16" s="6"/>
      <c r="C16" s="6"/>
      <c r="D16" s="6"/>
      <c r="E16" s="9" t="str">
        <f aca="false">IF(C16="","",MIN(1,Parameters!$E$4+Parameters!$E$5*D16))</f>
        <v/>
      </c>
      <c r="F16" s="9" t="str">
        <f aca="false">IF(C16="","",MIN(1,Parameters!$E$6+Parameters!$E$7*C16))</f>
        <v/>
      </c>
      <c r="G16" s="11" t="str">
        <f aca="false">IF(C16="","",Parameters!$E$8*MAX(E16-C16,0))</f>
        <v/>
      </c>
      <c r="H16" s="11" t="str">
        <f aca="false">IF(C16="","",Parameters!$E$9*(1-C16))</f>
        <v/>
      </c>
      <c r="I16" s="11" t="str">
        <f aca="false">IF(C16="","",Parameters!$E$12*(1-C16))</f>
        <v/>
      </c>
      <c r="J16" s="9" t="str">
        <f aca="false">IF(C16="","",Parameters!$E$13*(1-C16)^2)</f>
        <v/>
      </c>
      <c r="K16" s="9" t="str">
        <f aca="false">IF(C16="","",Parameters!$E$14*(1-C16)^2)</f>
        <v/>
      </c>
      <c r="L16" s="11" t="str">
        <f aca="false">IF(C16="","",G16)</f>
        <v/>
      </c>
      <c r="M16" s="11" t="str">
        <f aca="false">IF(C16="","",H16-J16*Parameters!$E$15)</f>
        <v/>
      </c>
      <c r="N16" s="11" t="str">
        <f aca="false">IF(C16="","",I16-K16*Parameters!$E$15)</f>
        <v/>
      </c>
      <c r="O16" s="20" t="str">
        <f aca="false">IF(C16="","",IF(AND(C16&gt;=Parameters!$E$20,D16&gt;=Parameters!$E$21),"done",IF(AND(D16&lt;Parameters!$E$21,C16&gt;=Parameters!$E$27,K16&lt;=Parameters!$E$22),"3",IF(AND(C16&gt;=Parameters!$E$20,C16&gt;=Parameters!$E$27,K16&lt;=Parameters!$E$22),"3",IF(AND(C16&gt;=Parameters!$E$27,K16&gt;Parameters!$E$22),"3b/4","4")))))</f>
        <v/>
      </c>
      <c r="P16" s="21" t="str">
        <f aca="false">IF(C16="","",IF(O16="done","Target region reached: decision checkpoint",IF(O16="3","T  integrated test",IF(MAX(L16:N16)=L16,"S  simulation / analysis",IF(MAX(L16:N16)=M16,"E  separate-effects test","T  integrated test (to learn)")))))</f>
        <v/>
      </c>
      <c r="Q16" s="22" t="str">
        <f aca="false">IF(C16="","",1-EXP(-K16*Parameters!$E$23))</f>
        <v/>
      </c>
      <c r="R16" s="23" t="str">
        <f aca="false">IF(B16="","",Parameters!$E$24-B16)</f>
        <v/>
      </c>
    </row>
    <row r="17" customFormat="false" ht="15" hidden="false" customHeight="false" outlineLevel="0" collapsed="false">
      <c r="A17" s="6"/>
      <c r="B17" s="6"/>
      <c r="C17" s="6"/>
      <c r="D17" s="6"/>
      <c r="E17" s="9" t="str">
        <f aca="false">IF(C17="","",MIN(1,Parameters!$E$4+Parameters!$E$5*D17))</f>
        <v/>
      </c>
      <c r="F17" s="9" t="str">
        <f aca="false">IF(C17="","",MIN(1,Parameters!$E$6+Parameters!$E$7*C17))</f>
        <v/>
      </c>
      <c r="G17" s="11" t="str">
        <f aca="false">IF(C17="","",Parameters!$E$8*MAX(E17-C17,0))</f>
        <v/>
      </c>
      <c r="H17" s="11" t="str">
        <f aca="false">IF(C17="","",Parameters!$E$9*(1-C17))</f>
        <v/>
      </c>
      <c r="I17" s="11" t="str">
        <f aca="false">IF(C17="","",Parameters!$E$12*(1-C17))</f>
        <v/>
      </c>
      <c r="J17" s="9" t="str">
        <f aca="false">IF(C17="","",Parameters!$E$13*(1-C17)^2)</f>
        <v/>
      </c>
      <c r="K17" s="9" t="str">
        <f aca="false">IF(C17="","",Parameters!$E$14*(1-C17)^2)</f>
        <v/>
      </c>
      <c r="L17" s="11" t="str">
        <f aca="false">IF(C17="","",G17)</f>
        <v/>
      </c>
      <c r="M17" s="11" t="str">
        <f aca="false">IF(C17="","",H17-J17*Parameters!$E$15)</f>
        <v/>
      </c>
      <c r="N17" s="11" t="str">
        <f aca="false">IF(C17="","",I17-K17*Parameters!$E$15)</f>
        <v/>
      </c>
      <c r="O17" s="20" t="str">
        <f aca="false">IF(C17="","",IF(AND(C17&gt;=Parameters!$E$20,D17&gt;=Parameters!$E$21),"done",IF(AND(D17&lt;Parameters!$E$21,C17&gt;=Parameters!$E$27,K17&lt;=Parameters!$E$22),"3",IF(AND(C17&gt;=Parameters!$E$20,C17&gt;=Parameters!$E$27,K17&lt;=Parameters!$E$22),"3",IF(AND(C17&gt;=Parameters!$E$27,K17&gt;Parameters!$E$22),"3b/4","4")))))</f>
        <v/>
      </c>
      <c r="P17" s="21" t="str">
        <f aca="false">IF(C17="","",IF(O17="done","Target region reached: decision checkpoint",IF(O17="3","T  integrated test",IF(MAX(L17:N17)=L17,"S  simulation / analysis",IF(MAX(L17:N17)=M17,"E  separate-effects test","T  integrated test (to learn)")))))</f>
        <v/>
      </c>
      <c r="Q17" s="22" t="str">
        <f aca="false">IF(C17="","",1-EXP(-K17*Parameters!$E$23))</f>
        <v/>
      </c>
      <c r="R17" s="23" t="str">
        <f aca="false">IF(B17="","",Parameters!$E$24-B17)</f>
        <v/>
      </c>
    </row>
    <row r="18" customFormat="false" ht="15" hidden="false" customHeight="false" outlineLevel="0" collapsed="false">
      <c r="A18" s="6"/>
      <c r="B18" s="6"/>
      <c r="C18" s="6"/>
      <c r="D18" s="6"/>
      <c r="E18" s="9" t="str">
        <f aca="false">IF(C18="","",MIN(1,Parameters!$E$4+Parameters!$E$5*D18))</f>
        <v/>
      </c>
      <c r="F18" s="9" t="str">
        <f aca="false">IF(C18="","",MIN(1,Parameters!$E$6+Parameters!$E$7*C18))</f>
        <v/>
      </c>
      <c r="G18" s="11" t="str">
        <f aca="false">IF(C18="","",Parameters!$E$8*MAX(E18-C18,0))</f>
        <v/>
      </c>
      <c r="H18" s="11" t="str">
        <f aca="false">IF(C18="","",Parameters!$E$9*(1-C18))</f>
        <v/>
      </c>
      <c r="I18" s="11" t="str">
        <f aca="false">IF(C18="","",Parameters!$E$12*(1-C18))</f>
        <v/>
      </c>
      <c r="J18" s="9" t="str">
        <f aca="false">IF(C18="","",Parameters!$E$13*(1-C18)^2)</f>
        <v/>
      </c>
      <c r="K18" s="9" t="str">
        <f aca="false">IF(C18="","",Parameters!$E$14*(1-C18)^2)</f>
        <v/>
      </c>
      <c r="L18" s="11" t="str">
        <f aca="false">IF(C18="","",G18)</f>
        <v/>
      </c>
      <c r="M18" s="11" t="str">
        <f aca="false">IF(C18="","",H18-J18*Parameters!$E$15)</f>
        <v/>
      </c>
      <c r="N18" s="11" t="str">
        <f aca="false">IF(C18="","",I18-K18*Parameters!$E$15)</f>
        <v/>
      </c>
      <c r="O18" s="20" t="str">
        <f aca="false">IF(C18="","",IF(AND(C18&gt;=Parameters!$E$20,D18&gt;=Parameters!$E$21),"done",IF(AND(D18&lt;Parameters!$E$21,C18&gt;=Parameters!$E$27,K18&lt;=Parameters!$E$22),"3",IF(AND(C18&gt;=Parameters!$E$20,C18&gt;=Parameters!$E$27,K18&lt;=Parameters!$E$22),"3",IF(AND(C18&gt;=Parameters!$E$27,K18&gt;Parameters!$E$22),"3b/4","4")))))</f>
        <v/>
      </c>
      <c r="P18" s="21" t="str">
        <f aca="false">IF(C18="","",IF(O18="done","Target region reached: decision checkpoint",IF(O18="3","T  integrated test",IF(MAX(L18:N18)=L18,"S  simulation / analysis",IF(MAX(L18:N18)=M18,"E  separate-effects test","T  integrated test (to learn)")))))</f>
        <v/>
      </c>
      <c r="Q18" s="22" t="str">
        <f aca="false">IF(C18="","",1-EXP(-K18*Parameters!$E$23))</f>
        <v/>
      </c>
      <c r="R18" s="23" t="str">
        <f aca="false">IF(B18="","",Parameters!$E$24-B18)</f>
        <v/>
      </c>
    </row>
    <row r="19" customFormat="false" ht="15" hidden="false" customHeight="false" outlineLevel="0" collapsed="false">
      <c r="A19" s="6"/>
      <c r="B19" s="6"/>
      <c r="C19" s="6"/>
      <c r="D19" s="6"/>
      <c r="E19" s="9" t="str">
        <f aca="false">IF(C19="","",MIN(1,Parameters!$E$4+Parameters!$E$5*D19))</f>
        <v/>
      </c>
      <c r="F19" s="9" t="str">
        <f aca="false">IF(C19="","",MIN(1,Parameters!$E$6+Parameters!$E$7*C19))</f>
        <v/>
      </c>
      <c r="G19" s="11" t="str">
        <f aca="false">IF(C19="","",Parameters!$E$8*MAX(E19-C19,0))</f>
        <v/>
      </c>
      <c r="H19" s="11" t="str">
        <f aca="false">IF(C19="","",Parameters!$E$9*(1-C19))</f>
        <v/>
      </c>
      <c r="I19" s="11" t="str">
        <f aca="false">IF(C19="","",Parameters!$E$12*(1-C19))</f>
        <v/>
      </c>
      <c r="J19" s="9" t="str">
        <f aca="false">IF(C19="","",Parameters!$E$13*(1-C19)^2)</f>
        <v/>
      </c>
      <c r="K19" s="9" t="str">
        <f aca="false">IF(C19="","",Parameters!$E$14*(1-C19)^2)</f>
        <v/>
      </c>
      <c r="L19" s="11" t="str">
        <f aca="false">IF(C19="","",G19)</f>
        <v/>
      </c>
      <c r="M19" s="11" t="str">
        <f aca="false">IF(C19="","",H19-J19*Parameters!$E$15)</f>
        <v/>
      </c>
      <c r="N19" s="11" t="str">
        <f aca="false">IF(C19="","",I19-K19*Parameters!$E$15)</f>
        <v/>
      </c>
      <c r="O19" s="20" t="str">
        <f aca="false">IF(C19="","",IF(AND(C19&gt;=Parameters!$E$20,D19&gt;=Parameters!$E$21),"done",IF(AND(D19&lt;Parameters!$E$21,C19&gt;=Parameters!$E$27,K19&lt;=Parameters!$E$22),"3",IF(AND(C19&gt;=Parameters!$E$20,C19&gt;=Parameters!$E$27,K19&lt;=Parameters!$E$22),"3",IF(AND(C19&gt;=Parameters!$E$27,K19&gt;Parameters!$E$22),"3b/4","4")))))</f>
        <v/>
      </c>
      <c r="P19" s="21" t="str">
        <f aca="false">IF(C19="","",IF(O19="done","Target region reached: decision checkpoint",IF(O19="3","T  integrated test",IF(MAX(L19:N19)=L19,"S  simulation / analysis",IF(MAX(L19:N19)=M19,"E  separate-effects test","T  integrated test (to learn)")))))</f>
        <v/>
      </c>
      <c r="Q19" s="22" t="str">
        <f aca="false">IF(C19="","",1-EXP(-K19*Parameters!$E$23))</f>
        <v/>
      </c>
      <c r="R19" s="23" t="str">
        <f aca="false">IF(B19="","",Parameters!$E$24-B19)</f>
        <v/>
      </c>
    </row>
    <row r="20" customFormat="false" ht="15" hidden="false" customHeight="false" outlineLevel="0" collapsed="false">
      <c r="A20" s="6"/>
      <c r="B20" s="6"/>
      <c r="C20" s="6"/>
      <c r="D20" s="6"/>
      <c r="E20" s="9" t="str">
        <f aca="false">IF(C20="","",MIN(1,Parameters!$E$4+Parameters!$E$5*D20))</f>
        <v/>
      </c>
      <c r="F20" s="9" t="str">
        <f aca="false">IF(C20="","",MIN(1,Parameters!$E$6+Parameters!$E$7*C20))</f>
        <v/>
      </c>
      <c r="G20" s="11" t="str">
        <f aca="false">IF(C20="","",Parameters!$E$8*MAX(E20-C20,0))</f>
        <v/>
      </c>
      <c r="H20" s="11" t="str">
        <f aca="false">IF(C20="","",Parameters!$E$9*(1-C20))</f>
        <v/>
      </c>
      <c r="I20" s="11" t="str">
        <f aca="false">IF(C20="","",Parameters!$E$12*(1-C20))</f>
        <v/>
      </c>
      <c r="J20" s="9" t="str">
        <f aca="false">IF(C20="","",Parameters!$E$13*(1-C20)^2)</f>
        <v/>
      </c>
      <c r="K20" s="9" t="str">
        <f aca="false">IF(C20="","",Parameters!$E$14*(1-C20)^2)</f>
        <v/>
      </c>
      <c r="L20" s="11" t="str">
        <f aca="false">IF(C20="","",G20)</f>
        <v/>
      </c>
      <c r="M20" s="11" t="str">
        <f aca="false">IF(C20="","",H20-J20*Parameters!$E$15)</f>
        <v/>
      </c>
      <c r="N20" s="11" t="str">
        <f aca="false">IF(C20="","",I20-K20*Parameters!$E$15)</f>
        <v/>
      </c>
      <c r="O20" s="20" t="str">
        <f aca="false">IF(C20="","",IF(AND(C20&gt;=Parameters!$E$20,D20&gt;=Parameters!$E$21),"done",IF(AND(D20&lt;Parameters!$E$21,C20&gt;=Parameters!$E$27,K20&lt;=Parameters!$E$22),"3",IF(AND(C20&gt;=Parameters!$E$20,C20&gt;=Parameters!$E$27,K20&lt;=Parameters!$E$22),"3",IF(AND(C20&gt;=Parameters!$E$27,K20&gt;Parameters!$E$22),"3b/4","4")))))</f>
        <v/>
      </c>
      <c r="P20" s="21" t="str">
        <f aca="false">IF(C20="","",IF(O20="done","Target region reached: decision checkpoint",IF(O20="3","T  integrated test",IF(MAX(L20:N20)=L20,"S  simulation / analysis",IF(MAX(L20:N20)=M20,"E  separate-effects test","T  integrated test (to learn)")))))</f>
        <v/>
      </c>
      <c r="Q20" s="22" t="str">
        <f aca="false">IF(C20="","",1-EXP(-K20*Parameters!$E$23))</f>
        <v/>
      </c>
      <c r="R20" s="23" t="str">
        <f aca="false">IF(B20="","",Parameters!$E$24-B20)</f>
        <v/>
      </c>
    </row>
    <row r="21" customFormat="false" ht="15" hidden="false" customHeight="false" outlineLevel="0" collapsed="false">
      <c r="A21" s="6"/>
      <c r="B21" s="6"/>
      <c r="C21" s="6"/>
      <c r="D21" s="6"/>
      <c r="E21" s="9" t="str">
        <f aca="false">IF(C21="","",MIN(1,Parameters!$E$4+Parameters!$E$5*D21))</f>
        <v/>
      </c>
      <c r="F21" s="9" t="str">
        <f aca="false">IF(C21="","",MIN(1,Parameters!$E$6+Parameters!$E$7*C21))</f>
        <v/>
      </c>
      <c r="G21" s="11" t="str">
        <f aca="false">IF(C21="","",Parameters!$E$8*MAX(E21-C21,0))</f>
        <v/>
      </c>
      <c r="H21" s="11" t="str">
        <f aca="false">IF(C21="","",Parameters!$E$9*(1-C21))</f>
        <v/>
      </c>
      <c r="I21" s="11" t="str">
        <f aca="false">IF(C21="","",Parameters!$E$12*(1-C21))</f>
        <v/>
      </c>
      <c r="J21" s="9" t="str">
        <f aca="false">IF(C21="","",Parameters!$E$13*(1-C21)^2)</f>
        <v/>
      </c>
      <c r="K21" s="9" t="str">
        <f aca="false">IF(C21="","",Parameters!$E$14*(1-C21)^2)</f>
        <v/>
      </c>
      <c r="L21" s="11" t="str">
        <f aca="false">IF(C21="","",G21)</f>
        <v/>
      </c>
      <c r="M21" s="11" t="str">
        <f aca="false">IF(C21="","",H21-J21*Parameters!$E$15)</f>
        <v/>
      </c>
      <c r="N21" s="11" t="str">
        <f aca="false">IF(C21="","",I21-K21*Parameters!$E$15)</f>
        <v/>
      </c>
      <c r="O21" s="20" t="str">
        <f aca="false">IF(C21="","",IF(AND(C21&gt;=Parameters!$E$20,D21&gt;=Parameters!$E$21),"done",IF(AND(D21&lt;Parameters!$E$21,C21&gt;=Parameters!$E$27,K21&lt;=Parameters!$E$22),"3",IF(AND(C21&gt;=Parameters!$E$20,C21&gt;=Parameters!$E$27,K21&lt;=Parameters!$E$22),"3",IF(AND(C21&gt;=Parameters!$E$27,K21&gt;Parameters!$E$22),"3b/4","4")))))</f>
        <v/>
      </c>
      <c r="P21" s="21" t="str">
        <f aca="false">IF(C21="","",IF(O21="done","Target region reached: decision checkpoint",IF(O21="3","T  integrated test",IF(MAX(L21:N21)=L21,"S  simulation / analysis",IF(MAX(L21:N21)=M21,"E  separate-effects test","T  integrated test (to learn)")))))</f>
        <v/>
      </c>
      <c r="Q21" s="22" t="str">
        <f aca="false">IF(C21="","",1-EXP(-K21*Parameters!$E$23))</f>
        <v/>
      </c>
      <c r="R21" s="23" t="str">
        <f aca="false">IF(B21="","",Parameters!$E$24-B21)</f>
        <v/>
      </c>
    </row>
    <row r="22" customFormat="false" ht="15" hidden="false" customHeight="false" outlineLevel="0" collapsed="false">
      <c r="A22" s="6"/>
      <c r="B22" s="6"/>
      <c r="C22" s="6"/>
      <c r="D22" s="6"/>
      <c r="E22" s="9" t="str">
        <f aca="false">IF(C22="","",MIN(1,Parameters!$E$4+Parameters!$E$5*D22))</f>
        <v/>
      </c>
      <c r="F22" s="9" t="str">
        <f aca="false">IF(C22="","",MIN(1,Parameters!$E$6+Parameters!$E$7*C22))</f>
        <v/>
      </c>
      <c r="G22" s="11" t="str">
        <f aca="false">IF(C22="","",Parameters!$E$8*MAX(E22-C22,0))</f>
        <v/>
      </c>
      <c r="H22" s="11" t="str">
        <f aca="false">IF(C22="","",Parameters!$E$9*(1-C22))</f>
        <v/>
      </c>
      <c r="I22" s="11" t="str">
        <f aca="false">IF(C22="","",Parameters!$E$12*(1-C22))</f>
        <v/>
      </c>
      <c r="J22" s="9" t="str">
        <f aca="false">IF(C22="","",Parameters!$E$13*(1-C22)^2)</f>
        <v/>
      </c>
      <c r="K22" s="9" t="str">
        <f aca="false">IF(C22="","",Parameters!$E$14*(1-C22)^2)</f>
        <v/>
      </c>
      <c r="L22" s="11" t="str">
        <f aca="false">IF(C22="","",G22)</f>
        <v/>
      </c>
      <c r="M22" s="11" t="str">
        <f aca="false">IF(C22="","",H22-J22*Parameters!$E$15)</f>
        <v/>
      </c>
      <c r="N22" s="11" t="str">
        <f aca="false">IF(C22="","",I22-K22*Parameters!$E$15)</f>
        <v/>
      </c>
      <c r="O22" s="20" t="str">
        <f aca="false">IF(C22="","",IF(AND(C22&gt;=Parameters!$E$20,D22&gt;=Parameters!$E$21),"done",IF(AND(D22&lt;Parameters!$E$21,C22&gt;=Parameters!$E$27,K22&lt;=Parameters!$E$22),"3",IF(AND(C22&gt;=Parameters!$E$20,C22&gt;=Parameters!$E$27,K22&lt;=Parameters!$E$22),"3",IF(AND(C22&gt;=Parameters!$E$27,K22&gt;Parameters!$E$22),"3b/4","4")))))</f>
        <v/>
      </c>
      <c r="P22" s="21" t="str">
        <f aca="false">IF(C22="","",IF(O22="done","Target region reached: decision checkpoint",IF(O22="3","T  integrated test",IF(MAX(L22:N22)=L22,"S  simulation / analysis",IF(MAX(L22:N22)=M22,"E  separate-effects test","T  integrated test (to learn)")))))</f>
        <v/>
      </c>
      <c r="Q22" s="22" t="str">
        <f aca="false">IF(C22="","",1-EXP(-K22*Parameters!$E$23))</f>
        <v/>
      </c>
      <c r="R22" s="23" t="str">
        <f aca="false">IF(B22="","",Parameters!$E$24-B22)</f>
        <v/>
      </c>
    </row>
    <row r="23" customFormat="false" ht="15" hidden="false" customHeight="false" outlineLevel="0" collapsed="false">
      <c r="A23" s="6"/>
      <c r="B23" s="6"/>
      <c r="C23" s="6"/>
      <c r="D23" s="6"/>
      <c r="E23" s="9" t="str">
        <f aca="false">IF(C23="","",MIN(1,Parameters!$E$4+Parameters!$E$5*D23))</f>
        <v/>
      </c>
      <c r="F23" s="9" t="str">
        <f aca="false">IF(C23="","",MIN(1,Parameters!$E$6+Parameters!$E$7*C23))</f>
        <v/>
      </c>
      <c r="G23" s="11" t="str">
        <f aca="false">IF(C23="","",Parameters!$E$8*MAX(E23-C23,0))</f>
        <v/>
      </c>
      <c r="H23" s="11" t="str">
        <f aca="false">IF(C23="","",Parameters!$E$9*(1-C23))</f>
        <v/>
      </c>
      <c r="I23" s="11" t="str">
        <f aca="false">IF(C23="","",Parameters!$E$12*(1-C23))</f>
        <v/>
      </c>
      <c r="J23" s="9" t="str">
        <f aca="false">IF(C23="","",Parameters!$E$13*(1-C23)^2)</f>
        <v/>
      </c>
      <c r="K23" s="9" t="str">
        <f aca="false">IF(C23="","",Parameters!$E$14*(1-C23)^2)</f>
        <v/>
      </c>
      <c r="L23" s="11" t="str">
        <f aca="false">IF(C23="","",G23)</f>
        <v/>
      </c>
      <c r="M23" s="11" t="str">
        <f aca="false">IF(C23="","",H23-J23*Parameters!$E$15)</f>
        <v/>
      </c>
      <c r="N23" s="11" t="str">
        <f aca="false">IF(C23="","",I23-K23*Parameters!$E$15)</f>
        <v/>
      </c>
      <c r="O23" s="20" t="str">
        <f aca="false">IF(C23="","",IF(AND(C23&gt;=Parameters!$E$20,D23&gt;=Parameters!$E$21),"done",IF(AND(D23&lt;Parameters!$E$21,C23&gt;=Parameters!$E$27,K23&lt;=Parameters!$E$22),"3",IF(AND(C23&gt;=Parameters!$E$20,C23&gt;=Parameters!$E$27,K23&lt;=Parameters!$E$22),"3",IF(AND(C23&gt;=Parameters!$E$27,K23&gt;Parameters!$E$22),"3b/4","4")))))</f>
        <v/>
      </c>
      <c r="P23" s="21" t="str">
        <f aca="false">IF(C23="","",IF(O23="done","Target region reached: decision checkpoint",IF(O23="3","T  integrated test",IF(MAX(L23:N23)=L23,"S  simulation / analysis",IF(MAX(L23:N23)=M23,"E  separate-effects test","T  integrated test (to learn)")))))</f>
        <v/>
      </c>
      <c r="Q23" s="22" t="str">
        <f aca="false">IF(C23="","",1-EXP(-K23*Parameters!$E$23))</f>
        <v/>
      </c>
      <c r="R23" s="23" t="str">
        <f aca="false">IF(B23="","",Parameters!$E$24-B23)</f>
        <v/>
      </c>
    </row>
    <row r="24" customFormat="false" ht="15" hidden="false" customHeight="false" outlineLevel="0" collapsed="false">
      <c r="A24" s="6"/>
      <c r="B24" s="6"/>
      <c r="C24" s="6"/>
      <c r="D24" s="6"/>
      <c r="E24" s="9" t="str">
        <f aca="false">IF(C24="","",MIN(1,Parameters!$E$4+Parameters!$E$5*D24))</f>
        <v/>
      </c>
      <c r="F24" s="9" t="str">
        <f aca="false">IF(C24="","",MIN(1,Parameters!$E$6+Parameters!$E$7*C24))</f>
        <v/>
      </c>
      <c r="G24" s="11" t="str">
        <f aca="false">IF(C24="","",Parameters!$E$8*MAX(E24-C24,0))</f>
        <v/>
      </c>
      <c r="H24" s="11" t="str">
        <f aca="false">IF(C24="","",Parameters!$E$9*(1-C24))</f>
        <v/>
      </c>
      <c r="I24" s="11" t="str">
        <f aca="false">IF(C24="","",Parameters!$E$12*(1-C24))</f>
        <v/>
      </c>
      <c r="J24" s="9" t="str">
        <f aca="false">IF(C24="","",Parameters!$E$13*(1-C24)^2)</f>
        <v/>
      </c>
      <c r="K24" s="9" t="str">
        <f aca="false">IF(C24="","",Parameters!$E$14*(1-C24)^2)</f>
        <v/>
      </c>
      <c r="L24" s="11" t="str">
        <f aca="false">IF(C24="","",G24)</f>
        <v/>
      </c>
      <c r="M24" s="11" t="str">
        <f aca="false">IF(C24="","",H24-J24*Parameters!$E$15)</f>
        <v/>
      </c>
      <c r="N24" s="11" t="str">
        <f aca="false">IF(C24="","",I24-K24*Parameters!$E$15)</f>
        <v/>
      </c>
      <c r="O24" s="20" t="str">
        <f aca="false">IF(C24="","",IF(AND(C24&gt;=Parameters!$E$20,D24&gt;=Parameters!$E$21),"done",IF(AND(D24&lt;Parameters!$E$21,C24&gt;=Parameters!$E$27,K24&lt;=Parameters!$E$22),"3",IF(AND(C24&gt;=Parameters!$E$20,C24&gt;=Parameters!$E$27,K24&lt;=Parameters!$E$22),"3",IF(AND(C24&gt;=Parameters!$E$27,K24&gt;Parameters!$E$22),"3b/4","4")))))</f>
        <v/>
      </c>
      <c r="P24" s="21" t="str">
        <f aca="false">IF(C24="","",IF(O24="done","Target region reached: decision checkpoint",IF(O24="3","T  integrated test",IF(MAX(L24:N24)=L24,"S  simulation / analysis",IF(MAX(L24:N24)=M24,"E  separate-effects test","T  integrated test (to learn)")))))</f>
        <v/>
      </c>
      <c r="Q24" s="22" t="str">
        <f aca="false">IF(C24="","",1-EXP(-K24*Parameters!$E$23))</f>
        <v/>
      </c>
      <c r="R24" s="23" t="str">
        <f aca="false">IF(B24="","",Parameters!$E$24-B24)</f>
        <v/>
      </c>
    </row>
    <row r="25" customFormat="false" ht="15" hidden="false" customHeight="false" outlineLevel="0" collapsed="false">
      <c r="A25" s="6"/>
      <c r="B25" s="6"/>
      <c r="C25" s="6"/>
      <c r="D25" s="6"/>
      <c r="E25" s="9" t="str">
        <f aca="false">IF(C25="","",MIN(1,Parameters!$E$4+Parameters!$E$5*D25))</f>
        <v/>
      </c>
      <c r="F25" s="9" t="str">
        <f aca="false">IF(C25="","",MIN(1,Parameters!$E$6+Parameters!$E$7*C25))</f>
        <v/>
      </c>
      <c r="G25" s="11" t="str">
        <f aca="false">IF(C25="","",Parameters!$E$8*MAX(E25-C25,0))</f>
        <v/>
      </c>
      <c r="H25" s="11" t="str">
        <f aca="false">IF(C25="","",Parameters!$E$9*(1-C25))</f>
        <v/>
      </c>
      <c r="I25" s="11" t="str">
        <f aca="false">IF(C25="","",Parameters!$E$12*(1-C25))</f>
        <v/>
      </c>
      <c r="J25" s="9" t="str">
        <f aca="false">IF(C25="","",Parameters!$E$13*(1-C25)^2)</f>
        <v/>
      </c>
      <c r="K25" s="9" t="str">
        <f aca="false">IF(C25="","",Parameters!$E$14*(1-C25)^2)</f>
        <v/>
      </c>
      <c r="L25" s="11" t="str">
        <f aca="false">IF(C25="","",G25)</f>
        <v/>
      </c>
      <c r="M25" s="11" t="str">
        <f aca="false">IF(C25="","",H25-J25*Parameters!$E$15)</f>
        <v/>
      </c>
      <c r="N25" s="11" t="str">
        <f aca="false">IF(C25="","",I25-K25*Parameters!$E$15)</f>
        <v/>
      </c>
      <c r="O25" s="20" t="str">
        <f aca="false">IF(C25="","",IF(AND(C25&gt;=Parameters!$E$20,D25&gt;=Parameters!$E$21),"done",IF(AND(D25&lt;Parameters!$E$21,C25&gt;=Parameters!$E$27,K25&lt;=Parameters!$E$22),"3",IF(AND(C25&gt;=Parameters!$E$20,C25&gt;=Parameters!$E$27,K25&lt;=Parameters!$E$22),"3",IF(AND(C25&gt;=Parameters!$E$27,K25&gt;Parameters!$E$22),"3b/4","4")))))</f>
        <v/>
      </c>
      <c r="P25" s="21" t="str">
        <f aca="false">IF(C25="","",IF(O25="done","Target region reached: decision checkpoint",IF(O25="3","T  integrated test",IF(MAX(L25:N25)=L25,"S  simulation / analysis",IF(MAX(L25:N25)=M25,"E  separate-effects test","T  integrated test (to learn)")))))</f>
        <v/>
      </c>
      <c r="Q25" s="22" t="str">
        <f aca="false">IF(C25="","",1-EXP(-K25*Parameters!$E$23))</f>
        <v/>
      </c>
      <c r="R25" s="23" t="str">
        <f aca="false">IF(B25="","",Parameters!$E$24-B25)</f>
        <v/>
      </c>
    </row>
    <row r="26" customFormat="false" ht="15" hidden="false" customHeight="false" outlineLevel="0" collapsed="false">
      <c r="A26" s="6"/>
      <c r="B26" s="6"/>
      <c r="C26" s="6"/>
      <c r="D26" s="6"/>
      <c r="E26" s="9" t="str">
        <f aca="false">IF(C26="","",MIN(1,Parameters!$E$4+Parameters!$E$5*D26))</f>
        <v/>
      </c>
      <c r="F26" s="9" t="str">
        <f aca="false">IF(C26="","",MIN(1,Parameters!$E$6+Parameters!$E$7*C26))</f>
        <v/>
      </c>
      <c r="G26" s="11" t="str">
        <f aca="false">IF(C26="","",Parameters!$E$8*MAX(E26-C26,0))</f>
        <v/>
      </c>
      <c r="H26" s="11" t="str">
        <f aca="false">IF(C26="","",Parameters!$E$9*(1-C26))</f>
        <v/>
      </c>
      <c r="I26" s="11" t="str">
        <f aca="false">IF(C26="","",Parameters!$E$12*(1-C26))</f>
        <v/>
      </c>
      <c r="J26" s="9" t="str">
        <f aca="false">IF(C26="","",Parameters!$E$13*(1-C26)^2)</f>
        <v/>
      </c>
      <c r="K26" s="9" t="str">
        <f aca="false">IF(C26="","",Parameters!$E$14*(1-C26)^2)</f>
        <v/>
      </c>
      <c r="L26" s="11" t="str">
        <f aca="false">IF(C26="","",G26)</f>
        <v/>
      </c>
      <c r="M26" s="11" t="str">
        <f aca="false">IF(C26="","",H26-J26*Parameters!$E$15)</f>
        <v/>
      </c>
      <c r="N26" s="11" t="str">
        <f aca="false">IF(C26="","",I26-K26*Parameters!$E$15)</f>
        <v/>
      </c>
      <c r="O26" s="20" t="str">
        <f aca="false">IF(C26="","",IF(AND(C26&gt;=Parameters!$E$20,D26&gt;=Parameters!$E$21),"done",IF(AND(D26&lt;Parameters!$E$21,C26&gt;=Parameters!$E$27,K26&lt;=Parameters!$E$22),"3",IF(AND(C26&gt;=Parameters!$E$20,C26&gt;=Parameters!$E$27,K26&lt;=Parameters!$E$22),"3",IF(AND(C26&gt;=Parameters!$E$27,K26&gt;Parameters!$E$22),"3b/4","4")))))</f>
        <v/>
      </c>
      <c r="P26" s="21" t="str">
        <f aca="false">IF(C26="","",IF(O26="done","Target region reached: decision checkpoint",IF(O26="3","T  integrated test",IF(MAX(L26:N26)=L26,"S  simulation / analysis",IF(MAX(L26:N26)=M26,"E  separate-effects test","T  integrated test (to learn)")))))</f>
        <v/>
      </c>
      <c r="Q26" s="22" t="str">
        <f aca="false">IF(C26="","",1-EXP(-K26*Parameters!$E$23))</f>
        <v/>
      </c>
      <c r="R26" s="23" t="str">
        <f aca="false">IF(B26="","",Parameters!$E$24-B26)</f>
        <v/>
      </c>
    </row>
    <row r="27" customFormat="false" ht="15" hidden="false" customHeight="false" outlineLevel="0" collapsed="false">
      <c r="A27" s="6"/>
      <c r="B27" s="6"/>
      <c r="C27" s="6"/>
      <c r="D27" s="6"/>
      <c r="E27" s="9" t="str">
        <f aca="false">IF(C27="","",MIN(1,Parameters!$E$4+Parameters!$E$5*D27))</f>
        <v/>
      </c>
      <c r="F27" s="9" t="str">
        <f aca="false">IF(C27="","",MIN(1,Parameters!$E$6+Parameters!$E$7*C27))</f>
        <v/>
      </c>
      <c r="G27" s="11" t="str">
        <f aca="false">IF(C27="","",Parameters!$E$8*MAX(E27-C27,0))</f>
        <v/>
      </c>
      <c r="H27" s="11" t="str">
        <f aca="false">IF(C27="","",Parameters!$E$9*(1-C27))</f>
        <v/>
      </c>
      <c r="I27" s="11" t="str">
        <f aca="false">IF(C27="","",Parameters!$E$12*(1-C27))</f>
        <v/>
      </c>
      <c r="J27" s="9" t="str">
        <f aca="false">IF(C27="","",Parameters!$E$13*(1-C27)^2)</f>
        <v/>
      </c>
      <c r="K27" s="9" t="str">
        <f aca="false">IF(C27="","",Parameters!$E$14*(1-C27)^2)</f>
        <v/>
      </c>
      <c r="L27" s="11" t="str">
        <f aca="false">IF(C27="","",G27)</f>
        <v/>
      </c>
      <c r="M27" s="11" t="str">
        <f aca="false">IF(C27="","",H27-J27*Parameters!$E$15)</f>
        <v/>
      </c>
      <c r="N27" s="11" t="str">
        <f aca="false">IF(C27="","",I27-K27*Parameters!$E$15)</f>
        <v/>
      </c>
      <c r="O27" s="20" t="str">
        <f aca="false">IF(C27="","",IF(AND(C27&gt;=Parameters!$E$20,D27&gt;=Parameters!$E$21),"done",IF(AND(D27&lt;Parameters!$E$21,C27&gt;=Parameters!$E$27,K27&lt;=Parameters!$E$22),"3",IF(AND(C27&gt;=Parameters!$E$20,C27&gt;=Parameters!$E$27,K27&lt;=Parameters!$E$22),"3",IF(AND(C27&gt;=Parameters!$E$27,K27&gt;Parameters!$E$22),"3b/4","4")))))</f>
        <v/>
      </c>
      <c r="P27" s="21" t="str">
        <f aca="false">IF(C27="","",IF(O27="done","Target region reached: decision checkpoint",IF(O27="3","T  integrated test",IF(MAX(L27:N27)=L27,"S  simulation / analysis",IF(MAX(L27:N27)=M27,"E  separate-effects test","T  integrated test (to learn)")))))</f>
        <v/>
      </c>
      <c r="Q27" s="22" t="str">
        <f aca="false">IF(C27="","",1-EXP(-K27*Parameters!$E$23))</f>
        <v/>
      </c>
      <c r="R27" s="23" t="str">
        <f aca="false">IF(B27="","",Parameters!$E$24-B27)</f>
        <v/>
      </c>
    </row>
    <row r="28" customFormat="false" ht="15" hidden="false" customHeight="false" outlineLevel="0" collapsed="false">
      <c r="A28" s="6"/>
      <c r="B28" s="6"/>
      <c r="C28" s="6"/>
      <c r="D28" s="6"/>
      <c r="E28" s="9" t="str">
        <f aca="false">IF(C28="","",MIN(1,Parameters!$E$4+Parameters!$E$5*D28))</f>
        <v/>
      </c>
      <c r="F28" s="9" t="str">
        <f aca="false">IF(C28="","",MIN(1,Parameters!$E$6+Parameters!$E$7*C28))</f>
        <v/>
      </c>
      <c r="G28" s="11" t="str">
        <f aca="false">IF(C28="","",Parameters!$E$8*MAX(E28-C28,0))</f>
        <v/>
      </c>
      <c r="H28" s="11" t="str">
        <f aca="false">IF(C28="","",Parameters!$E$9*(1-C28))</f>
        <v/>
      </c>
      <c r="I28" s="11" t="str">
        <f aca="false">IF(C28="","",Parameters!$E$12*(1-C28))</f>
        <v/>
      </c>
      <c r="J28" s="9" t="str">
        <f aca="false">IF(C28="","",Parameters!$E$13*(1-C28)^2)</f>
        <v/>
      </c>
      <c r="K28" s="9" t="str">
        <f aca="false">IF(C28="","",Parameters!$E$14*(1-C28)^2)</f>
        <v/>
      </c>
      <c r="L28" s="11" t="str">
        <f aca="false">IF(C28="","",G28)</f>
        <v/>
      </c>
      <c r="M28" s="11" t="str">
        <f aca="false">IF(C28="","",H28-J28*Parameters!$E$15)</f>
        <v/>
      </c>
      <c r="N28" s="11" t="str">
        <f aca="false">IF(C28="","",I28-K28*Parameters!$E$15)</f>
        <v/>
      </c>
      <c r="O28" s="20" t="str">
        <f aca="false">IF(C28="","",IF(AND(C28&gt;=Parameters!$E$20,D28&gt;=Parameters!$E$21),"done",IF(AND(D28&lt;Parameters!$E$21,C28&gt;=Parameters!$E$27,K28&lt;=Parameters!$E$22),"3",IF(AND(C28&gt;=Parameters!$E$20,C28&gt;=Parameters!$E$27,K28&lt;=Parameters!$E$22),"3",IF(AND(C28&gt;=Parameters!$E$27,K28&gt;Parameters!$E$22),"3b/4","4")))))</f>
        <v/>
      </c>
      <c r="P28" s="21" t="str">
        <f aca="false">IF(C28="","",IF(O28="done","Target region reached: decision checkpoint",IF(O28="3","T  integrated test",IF(MAX(L28:N28)=L28,"S  simulation / analysis",IF(MAX(L28:N28)=M28,"E  separate-effects test","T  integrated test (to learn)")))))</f>
        <v/>
      </c>
      <c r="Q28" s="22" t="str">
        <f aca="false">IF(C28="","",1-EXP(-K28*Parameters!$E$23))</f>
        <v/>
      </c>
      <c r="R28" s="23" t="str">
        <f aca="false">IF(B28="","",Parameters!$E$24-B28)</f>
        <v/>
      </c>
    </row>
    <row r="29" customFormat="false" ht="15" hidden="false" customHeight="false" outlineLevel="0" collapsed="false">
      <c r="A29" s="6"/>
      <c r="B29" s="6"/>
      <c r="C29" s="6"/>
      <c r="D29" s="6"/>
      <c r="E29" s="9" t="str">
        <f aca="false">IF(C29="","",MIN(1,Parameters!$E$4+Parameters!$E$5*D29))</f>
        <v/>
      </c>
      <c r="F29" s="9" t="str">
        <f aca="false">IF(C29="","",MIN(1,Parameters!$E$6+Parameters!$E$7*C29))</f>
        <v/>
      </c>
      <c r="G29" s="11" t="str">
        <f aca="false">IF(C29="","",Parameters!$E$8*MAX(E29-C29,0))</f>
        <v/>
      </c>
      <c r="H29" s="11" t="str">
        <f aca="false">IF(C29="","",Parameters!$E$9*(1-C29))</f>
        <v/>
      </c>
      <c r="I29" s="11" t="str">
        <f aca="false">IF(C29="","",Parameters!$E$12*(1-C29))</f>
        <v/>
      </c>
      <c r="J29" s="9" t="str">
        <f aca="false">IF(C29="","",Parameters!$E$13*(1-C29)^2)</f>
        <v/>
      </c>
      <c r="K29" s="9" t="str">
        <f aca="false">IF(C29="","",Parameters!$E$14*(1-C29)^2)</f>
        <v/>
      </c>
      <c r="L29" s="11" t="str">
        <f aca="false">IF(C29="","",G29)</f>
        <v/>
      </c>
      <c r="M29" s="11" t="str">
        <f aca="false">IF(C29="","",H29-J29*Parameters!$E$15)</f>
        <v/>
      </c>
      <c r="N29" s="11" t="str">
        <f aca="false">IF(C29="","",I29-K29*Parameters!$E$15)</f>
        <v/>
      </c>
      <c r="O29" s="20" t="str">
        <f aca="false">IF(C29="","",IF(AND(C29&gt;=Parameters!$E$20,D29&gt;=Parameters!$E$21),"done",IF(AND(D29&lt;Parameters!$E$21,C29&gt;=Parameters!$E$27,K29&lt;=Parameters!$E$22),"3",IF(AND(C29&gt;=Parameters!$E$20,C29&gt;=Parameters!$E$27,K29&lt;=Parameters!$E$22),"3",IF(AND(C29&gt;=Parameters!$E$27,K29&gt;Parameters!$E$22),"3b/4","4")))))</f>
        <v/>
      </c>
      <c r="P29" s="21" t="str">
        <f aca="false">IF(C29="","",IF(O29="done","Target region reached: decision checkpoint",IF(O29="3","T  integrated test",IF(MAX(L29:N29)=L29,"S  simulation / analysis",IF(MAX(L29:N29)=M29,"E  separate-effects test","T  integrated test (to learn)")))))</f>
        <v/>
      </c>
      <c r="Q29" s="22" t="str">
        <f aca="false">IF(C29="","",1-EXP(-K29*Parameters!$E$23))</f>
        <v/>
      </c>
      <c r="R29" s="23" t="str">
        <f aca="false">IF(B29="","",Parameters!$E$24-B29)</f>
        <v/>
      </c>
    </row>
    <row r="30" customFormat="false" ht="15" hidden="false" customHeight="false" outlineLevel="0" collapsed="false">
      <c r="A30" s="6"/>
      <c r="B30" s="6"/>
      <c r="C30" s="6"/>
      <c r="D30" s="6"/>
      <c r="E30" s="9" t="str">
        <f aca="false">IF(C30="","",MIN(1,Parameters!$E$4+Parameters!$E$5*D30))</f>
        <v/>
      </c>
      <c r="F30" s="9" t="str">
        <f aca="false">IF(C30="","",MIN(1,Parameters!$E$6+Parameters!$E$7*C30))</f>
        <v/>
      </c>
      <c r="G30" s="11" t="str">
        <f aca="false">IF(C30="","",Parameters!$E$8*MAX(E30-C30,0))</f>
        <v/>
      </c>
      <c r="H30" s="11" t="str">
        <f aca="false">IF(C30="","",Parameters!$E$9*(1-C30))</f>
        <v/>
      </c>
      <c r="I30" s="11" t="str">
        <f aca="false">IF(C30="","",Parameters!$E$12*(1-C30))</f>
        <v/>
      </c>
      <c r="J30" s="9" t="str">
        <f aca="false">IF(C30="","",Parameters!$E$13*(1-C30)^2)</f>
        <v/>
      </c>
      <c r="K30" s="9" t="str">
        <f aca="false">IF(C30="","",Parameters!$E$14*(1-C30)^2)</f>
        <v/>
      </c>
      <c r="L30" s="11" t="str">
        <f aca="false">IF(C30="","",G30)</f>
        <v/>
      </c>
      <c r="M30" s="11" t="str">
        <f aca="false">IF(C30="","",H30-J30*Parameters!$E$15)</f>
        <v/>
      </c>
      <c r="N30" s="11" t="str">
        <f aca="false">IF(C30="","",I30-K30*Parameters!$E$15)</f>
        <v/>
      </c>
      <c r="O30" s="20" t="str">
        <f aca="false">IF(C30="","",IF(AND(C30&gt;=Parameters!$E$20,D30&gt;=Parameters!$E$21),"done",IF(AND(D30&lt;Parameters!$E$21,C30&gt;=Parameters!$E$27,K30&lt;=Parameters!$E$22),"3",IF(AND(C30&gt;=Parameters!$E$20,C30&gt;=Parameters!$E$27,K30&lt;=Parameters!$E$22),"3",IF(AND(C30&gt;=Parameters!$E$27,K30&gt;Parameters!$E$22),"3b/4","4")))))</f>
        <v/>
      </c>
      <c r="P30" s="21" t="str">
        <f aca="false">IF(C30="","",IF(O30="done","Target region reached: decision checkpoint",IF(O30="3","T  integrated test",IF(MAX(L30:N30)=L30,"S  simulation / analysis",IF(MAX(L30:N30)=M30,"E  separate-effects test","T  integrated test (to learn)")))))</f>
        <v/>
      </c>
      <c r="Q30" s="22" t="str">
        <f aca="false">IF(C30="","",1-EXP(-K30*Parameters!$E$23))</f>
        <v/>
      </c>
      <c r="R30" s="23" t="str">
        <f aca="false">IF(B30="","",Parameters!$E$24-B30)</f>
        <v/>
      </c>
    </row>
    <row r="31" customFormat="false" ht="15" hidden="false" customHeight="false" outlineLevel="0" collapsed="false">
      <c r="A31" s="6"/>
      <c r="B31" s="6"/>
      <c r="C31" s="6"/>
      <c r="D31" s="6"/>
      <c r="E31" s="9" t="str">
        <f aca="false">IF(C31="","",MIN(1,Parameters!$E$4+Parameters!$E$5*D31))</f>
        <v/>
      </c>
      <c r="F31" s="9" t="str">
        <f aca="false">IF(C31="","",MIN(1,Parameters!$E$6+Parameters!$E$7*C31))</f>
        <v/>
      </c>
      <c r="G31" s="11" t="str">
        <f aca="false">IF(C31="","",Parameters!$E$8*MAX(E31-C31,0))</f>
        <v/>
      </c>
      <c r="H31" s="11" t="str">
        <f aca="false">IF(C31="","",Parameters!$E$9*(1-C31))</f>
        <v/>
      </c>
      <c r="I31" s="11" t="str">
        <f aca="false">IF(C31="","",Parameters!$E$12*(1-C31))</f>
        <v/>
      </c>
      <c r="J31" s="9" t="str">
        <f aca="false">IF(C31="","",Parameters!$E$13*(1-C31)^2)</f>
        <v/>
      </c>
      <c r="K31" s="9" t="str">
        <f aca="false">IF(C31="","",Parameters!$E$14*(1-C31)^2)</f>
        <v/>
      </c>
      <c r="L31" s="11" t="str">
        <f aca="false">IF(C31="","",G31)</f>
        <v/>
      </c>
      <c r="M31" s="11" t="str">
        <f aca="false">IF(C31="","",H31-J31*Parameters!$E$15)</f>
        <v/>
      </c>
      <c r="N31" s="11" t="str">
        <f aca="false">IF(C31="","",I31-K31*Parameters!$E$15)</f>
        <v/>
      </c>
      <c r="O31" s="20" t="str">
        <f aca="false">IF(C31="","",IF(AND(C31&gt;=Parameters!$E$20,D31&gt;=Parameters!$E$21),"done",IF(AND(D31&lt;Parameters!$E$21,C31&gt;=Parameters!$E$27,K31&lt;=Parameters!$E$22),"3",IF(AND(C31&gt;=Parameters!$E$20,C31&gt;=Parameters!$E$27,K31&lt;=Parameters!$E$22),"3",IF(AND(C31&gt;=Parameters!$E$27,K31&gt;Parameters!$E$22),"3b/4","4")))))</f>
        <v/>
      </c>
      <c r="P31" s="21" t="str">
        <f aca="false">IF(C31="","",IF(O31="done","Target region reached: decision checkpoint",IF(O31="3","T  integrated test",IF(MAX(L31:N31)=L31,"S  simulation / analysis",IF(MAX(L31:N31)=M31,"E  separate-effects test","T  integrated test (to learn)")))))</f>
        <v/>
      </c>
      <c r="Q31" s="22" t="str">
        <f aca="false">IF(C31="","",1-EXP(-K31*Parameters!$E$23))</f>
        <v/>
      </c>
      <c r="R31" s="23" t="str">
        <f aca="false">IF(B31="","",Parameters!$E$24-B31)</f>
        <v/>
      </c>
    </row>
    <row r="32" customFormat="false" ht="15" hidden="false" customHeight="false" outlineLevel="0" collapsed="false">
      <c r="A32" s="6"/>
      <c r="B32" s="6"/>
      <c r="C32" s="6"/>
      <c r="D32" s="6"/>
      <c r="E32" s="9" t="str">
        <f aca="false">IF(C32="","",MIN(1,Parameters!$E$4+Parameters!$E$5*D32))</f>
        <v/>
      </c>
      <c r="F32" s="9" t="str">
        <f aca="false">IF(C32="","",MIN(1,Parameters!$E$6+Parameters!$E$7*C32))</f>
        <v/>
      </c>
      <c r="G32" s="11" t="str">
        <f aca="false">IF(C32="","",Parameters!$E$8*MAX(E32-C32,0))</f>
        <v/>
      </c>
      <c r="H32" s="11" t="str">
        <f aca="false">IF(C32="","",Parameters!$E$9*(1-C32))</f>
        <v/>
      </c>
      <c r="I32" s="11" t="str">
        <f aca="false">IF(C32="","",Parameters!$E$12*(1-C32))</f>
        <v/>
      </c>
      <c r="J32" s="9" t="str">
        <f aca="false">IF(C32="","",Parameters!$E$13*(1-C32)^2)</f>
        <v/>
      </c>
      <c r="K32" s="9" t="str">
        <f aca="false">IF(C32="","",Parameters!$E$14*(1-C32)^2)</f>
        <v/>
      </c>
      <c r="L32" s="11" t="str">
        <f aca="false">IF(C32="","",G32)</f>
        <v/>
      </c>
      <c r="M32" s="11" t="str">
        <f aca="false">IF(C32="","",H32-J32*Parameters!$E$15)</f>
        <v/>
      </c>
      <c r="N32" s="11" t="str">
        <f aca="false">IF(C32="","",I32-K32*Parameters!$E$15)</f>
        <v/>
      </c>
      <c r="O32" s="20" t="str">
        <f aca="false">IF(C32="","",IF(AND(C32&gt;=Parameters!$E$20,D32&gt;=Parameters!$E$21),"done",IF(AND(D32&lt;Parameters!$E$21,C32&gt;=Parameters!$E$27,K32&lt;=Parameters!$E$22),"3",IF(AND(C32&gt;=Parameters!$E$20,C32&gt;=Parameters!$E$27,K32&lt;=Parameters!$E$22),"3",IF(AND(C32&gt;=Parameters!$E$27,K32&gt;Parameters!$E$22),"3b/4","4")))))</f>
        <v/>
      </c>
      <c r="P32" s="21" t="str">
        <f aca="false">IF(C32="","",IF(O32="done","Target region reached: decision checkpoint",IF(O32="3","T  integrated test",IF(MAX(L32:N32)=L32,"S  simulation / analysis",IF(MAX(L32:N32)=M32,"E  separate-effects test","T  integrated test (to learn)")))))</f>
        <v/>
      </c>
      <c r="Q32" s="22" t="str">
        <f aca="false">IF(C32="","",1-EXP(-K32*Parameters!$E$23))</f>
        <v/>
      </c>
      <c r="R32" s="23" t="str">
        <f aca="false">IF(B32="","",Parameters!$E$24-B32)</f>
        <v/>
      </c>
    </row>
    <row r="33" customFormat="false" ht="15" hidden="false" customHeight="false" outlineLevel="0" collapsed="false">
      <c r="A33" s="6"/>
      <c r="B33" s="6"/>
      <c r="C33" s="6"/>
      <c r="D33" s="6"/>
      <c r="E33" s="9" t="str">
        <f aca="false">IF(C33="","",MIN(1,Parameters!$E$4+Parameters!$E$5*D33))</f>
        <v/>
      </c>
      <c r="F33" s="9" t="str">
        <f aca="false">IF(C33="","",MIN(1,Parameters!$E$6+Parameters!$E$7*C33))</f>
        <v/>
      </c>
      <c r="G33" s="11" t="str">
        <f aca="false">IF(C33="","",Parameters!$E$8*MAX(E33-C33,0))</f>
        <v/>
      </c>
      <c r="H33" s="11" t="str">
        <f aca="false">IF(C33="","",Parameters!$E$9*(1-C33))</f>
        <v/>
      </c>
      <c r="I33" s="11" t="str">
        <f aca="false">IF(C33="","",Parameters!$E$12*(1-C33))</f>
        <v/>
      </c>
      <c r="J33" s="9" t="str">
        <f aca="false">IF(C33="","",Parameters!$E$13*(1-C33)^2)</f>
        <v/>
      </c>
      <c r="K33" s="9" t="str">
        <f aca="false">IF(C33="","",Parameters!$E$14*(1-C33)^2)</f>
        <v/>
      </c>
      <c r="L33" s="11" t="str">
        <f aca="false">IF(C33="","",G33)</f>
        <v/>
      </c>
      <c r="M33" s="11" t="str">
        <f aca="false">IF(C33="","",H33-J33*Parameters!$E$15)</f>
        <v/>
      </c>
      <c r="N33" s="11" t="str">
        <f aca="false">IF(C33="","",I33-K33*Parameters!$E$15)</f>
        <v/>
      </c>
      <c r="O33" s="20" t="str">
        <f aca="false">IF(C33="","",IF(AND(C33&gt;=Parameters!$E$20,D33&gt;=Parameters!$E$21),"done",IF(AND(D33&lt;Parameters!$E$21,C33&gt;=Parameters!$E$27,K33&lt;=Parameters!$E$22),"3",IF(AND(C33&gt;=Parameters!$E$20,C33&gt;=Parameters!$E$27,K33&lt;=Parameters!$E$22),"3",IF(AND(C33&gt;=Parameters!$E$27,K33&gt;Parameters!$E$22),"3b/4","4")))))</f>
        <v/>
      </c>
      <c r="P33" s="21" t="str">
        <f aca="false">IF(C33="","",IF(O33="done","Target region reached: decision checkpoint",IF(O33="3","T  integrated test",IF(MAX(L33:N33)=L33,"S  simulation / analysis",IF(MAX(L33:N33)=M33,"E  separate-effects test","T  integrated test (to learn)")))))</f>
        <v/>
      </c>
      <c r="Q33" s="22" t="str">
        <f aca="false">IF(C33="","",1-EXP(-K33*Parameters!$E$23))</f>
        <v/>
      </c>
      <c r="R33" s="23" t="str">
        <f aca="false">IF(B33="","",Parameters!$E$24-B33)</f>
        <v/>
      </c>
    </row>
    <row r="34" customFormat="false" ht="15" hidden="false" customHeight="false" outlineLevel="0" collapsed="false">
      <c r="A34" s="6"/>
      <c r="B34" s="6"/>
      <c r="C34" s="6"/>
      <c r="D34" s="6"/>
      <c r="E34" s="9" t="str">
        <f aca="false">IF(C34="","",MIN(1,Parameters!$E$4+Parameters!$E$5*D34))</f>
        <v/>
      </c>
      <c r="F34" s="9" t="str">
        <f aca="false">IF(C34="","",MIN(1,Parameters!$E$6+Parameters!$E$7*C34))</f>
        <v/>
      </c>
      <c r="G34" s="11" t="str">
        <f aca="false">IF(C34="","",Parameters!$E$8*MAX(E34-C34,0))</f>
        <v/>
      </c>
      <c r="H34" s="11" t="str">
        <f aca="false">IF(C34="","",Parameters!$E$9*(1-C34))</f>
        <v/>
      </c>
      <c r="I34" s="11" t="str">
        <f aca="false">IF(C34="","",Parameters!$E$12*(1-C34))</f>
        <v/>
      </c>
      <c r="J34" s="9" t="str">
        <f aca="false">IF(C34="","",Parameters!$E$13*(1-C34)^2)</f>
        <v/>
      </c>
      <c r="K34" s="9" t="str">
        <f aca="false">IF(C34="","",Parameters!$E$14*(1-C34)^2)</f>
        <v/>
      </c>
      <c r="L34" s="11" t="str">
        <f aca="false">IF(C34="","",G34)</f>
        <v/>
      </c>
      <c r="M34" s="11" t="str">
        <f aca="false">IF(C34="","",H34-J34*Parameters!$E$15)</f>
        <v/>
      </c>
      <c r="N34" s="11" t="str">
        <f aca="false">IF(C34="","",I34-K34*Parameters!$E$15)</f>
        <v/>
      </c>
      <c r="O34" s="20" t="str">
        <f aca="false">IF(C34="","",IF(AND(C34&gt;=Parameters!$E$20,D34&gt;=Parameters!$E$21),"done",IF(AND(D34&lt;Parameters!$E$21,C34&gt;=Parameters!$E$27,K34&lt;=Parameters!$E$22),"3",IF(AND(C34&gt;=Parameters!$E$20,C34&gt;=Parameters!$E$27,K34&lt;=Parameters!$E$22),"3",IF(AND(C34&gt;=Parameters!$E$27,K34&gt;Parameters!$E$22),"3b/4","4")))))</f>
        <v/>
      </c>
      <c r="P34" s="21" t="str">
        <f aca="false">IF(C34="","",IF(O34="done","Target region reached: decision checkpoint",IF(O34="3","T  integrated test",IF(MAX(L34:N34)=L34,"S  simulation / analysis",IF(MAX(L34:N34)=M34,"E  separate-effects test","T  integrated test (to learn)")))))</f>
        <v/>
      </c>
      <c r="Q34" s="22" t="str">
        <f aca="false">IF(C34="","",1-EXP(-K34*Parameters!$E$23))</f>
        <v/>
      </c>
      <c r="R34" s="23" t="str">
        <f aca="false">IF(B34="","",Parameters!$E$24-B34)</f>
        <v/>
      </c>
    </row>
    <row r="37" customFormat="false" ht="15" hidden="false" customHeight="false" outlineLevel="0" collapsed="false">
      <c r="A37" s="7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2026-10-22T02:46:22Z</dcterms:created>
  <dc:creator>Pedro K. de Albuquerque</dc:creator>
  <dc:description/>
  <dc:language>en-US</dc:language>
  <cp:lastModifiedBy>Pedro K. de Albuquerque</cp:lastModifiedBy>
  <dcterms:modified xsi:type="dcterms:W3CDTF">2026-10-22T02:46:22Z</dcterms:modified>
  <cp:revision>1</cp:revision>
  <dc:subject/>
  <dc:title>KMC Worksheet: calibration and headroom procedure</dc:title>
  <cp:keywords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